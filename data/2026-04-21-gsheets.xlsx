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PIC" sheetId="1" r:id="rId5"/>
  </sheets>
  <definedNames/>
  <calcPr/>
</workbook>
</file>

<file path=xl/sharedStrings.xml><?xml version="1.0" encoding="utf-8"?>
<sst xmlns="http://schemas.openxmlformats.org/spreadsheetml/2006/main" count="1158" uniqueCount="767">
  <si>
    <t>(C) CUE</t>
  </si>
  <si>
    <t>--------</t>
  </si>
  <si>
    <t>total gifts</t>
  </si>
  <si>
    <t>cyan background, green background for Mystery Games</t>
  </si>
  <si>
    <t>- unique games</t>
  </si>
  <si>
    <t>pack</t>
  </si>
  <si>
    <t>- packs, in-game content, DLC</t>
  </si>
  <si>
    <t>-</t>
  </si>
  <si>
    <t>(same as above, to avoid empty cells and not duplicate identifiers)</t>
  </si>
  <si>
    <t>dupe</t>
  </si>
  <si>
    <t>- dupe games, packs, in-game content, DLC</t>
  </si>
  <si>
    <t>free</t>
  </si>
  <si>
    <t>- free games</t>
  </si>
  <si>
    <t>total others gifts (another days, different number of days, DLC's, fails...)</t>
  </si>
  <si>
    <t>yellow background, not the usual gifts</t>
  </si>
  <si>
    <t>PC</t>
  </si>
  <si>
    <t>Mobile</t>
  </si>
  <si>
    <t>other</t>
  </si>
  <si>
    <t>- other unique games</t>
  </si>
  <si>
    <t>That doesn't include the crappy free indie games they're giving away!</t>
  </si>
  <si>
    <t>From</t>
  </si>
  <si>
    <t>pack2</t>
  </si>
  <si>
    <t>- other packs, in-game content, DLC</t>
  </si>
  <si>
    <t>To</t>
  </si>
  <si>
    <t>dupe2</t>
  </si>
  <si>
    <t>- other dupe games, packs, in-game content, DLC</t>
  </si>
  <si>
    <t>Years</t>
  </si>
  <si>
    <t>total mobile gifts</t>
  </si>
  <si>
    <t>light red background, Android (global), iOS (only EU)</t>
  </si>
  <si>
    <t>Months</t>
  </si>
  <si>
    <t>mobile</t>
  </si>
  <si>
    <t>- mobile unique games</t>
  </si>
  <si>
    <t>Days</t>
  </si>
  <si>
    <t>pack3</t>
  </si>
  <si>
    <t>- mobile packs, in-game content, DLC</t>
  </si>
  <si>
    <t>Total Days</t>
  </si>
  <si>
    <t>dupe3</t>
  </si>
  <si>
    <t>- mobile dupe games, packs, in-game content, DLC</t>
  </si>
  <si>
    <t>next</t>
  </si>
  <si>
    <t>next gifts</t>
  </si>
  <si>
    <t>do not count for the totals</t>
  </si>
  <si>
    <t>FROM</t>
  </si>
  <si>
    <t>TO</t>
  </si>
  <si>
    <t>DAY</t>
  </si>
  <si>
    <t>DAYS</t>
  </si>
  <si>
    <t>TYPE</t>
  </si>
  <si>
    <t>NAME</t>
  </si>
  <si>
    <t>NAME / NOTES</t>
  </si>
  <si>
    <t>*</t>
  </si>
  <si>
    <t>DOOMBLADE</t>
  </si>
  <si>
    <t>Broken Sword : Reforged</t>
  </si>
  <si>
    <t>The Stone of Madness</t>
  </si>
  <si>
    <t>Dumb Ways to Draw</t>
  </si>
  <si>
    <t>Prop Sumo</t>
  </si>
  <si>
    <t>Dumb Ways to Die 2: The Games</t>
  </si>
  <si>
    <t>Clone Drone in the Danger Zone</t>
  </si>
  <si>
    <t>TOMAK: Save the Earth Regeneration</t>
  </si>
  <si>
    <t>to celebrate the 25th anniversary</t>
  </si>
  <si>
    <t>The Wreck</t>
  </si>
  <si>
    <t>Havendock</t>
  </si>
  <si>
    <t>Hyper Echelon</t>
  </si>
  <si>
    <t>Potion Permit</t>
  </si>
  <si>
    <t>Electrician Simulator</t>
  </si>
  <si>
    <t>World of Warships — Epic Anniversary Tachibana Pack</t>
  </si>
  <si>
    <t>Wonder Boy: The Dragon's Trap</t>
  </si>
  <si>
    <t>Cozy Grove</t>
  </si>
  <si>
    <t>Isonzo</t>
  </si>
  <si>
    <t>Little Nightmares</t>
  </si>
  <si>
    <t>Idle Champions of the Forgotten Realms - Raistlin's Renown Pack</t>
  </si>
  <si>
    <t>In-game content, log into game to get</t>
  </si>
  <si>
    <t>Idle Champions of the Forgotten Realms - Dragonlance Pack</t>
  </si>
  <si>
    <t>Turnip Boy Robs a Bank</t>
  </si>
  <si>
    <t>Boxes: Lost Fragments</t>
  </si>
  <si>
    <t>My Night Job</t>
  </si>
  <si>
    <t>Residual</t>
  </si>
  <si>
    <t>Return to Ash</t>
  </si>
  <si>
    <t>STALCRAFT: X Edition Starter</t>
  </si>
  <si>
    <t>The Darkside Detective: A Fumble in the Dark</t>
  </si>
  <si>
    <t>Nobody Wants to Die</t>
  </si>
  <si>
    <t>Botany Manor</t>
  </si>
  <si>
    <t>Poison Retro Set</t>
  </si>
  <si>
    <t>Requires base game (free): Pixel Gun 3D</t>
  </si>
  <si>
    <t>Faily Brakes 2</t>
  </si>
  <si>
    <t>Definitely Not Fried Chicken</t>
  </si>
  <si>
    <t>The Forest Quartet</t>
  </si>
  <si>
    <t>Rustler (Grand Theft Horse)</t>
  </si>
  <si>
    <t>Dumb Ways to Die</t>
  </si>
  <si>
    <t>Styx: Master of Shadows</t>
  </si>
  <si>
    <t>Styx: Shards of Darkness</t>
  </si>
  <si>
    <t>Bouncemasters</t>
  </si>
  <si>
    <t>Bloons TD 6</t>
  </si>
  <si>
    <t>Skul: The Hero Slayer</t>
  </si>
  <si>
    <t>Total War: THREE KINGDOMS</t>
  </si>
  <si>
    <t>Wildgate: Standard Edition</t>
  </si>
  <si>
    <t>Chivalry 2</t>
  </si>
  <si>
    <t>Trine Classic Collection</t>
  </si>
  <si>
    <t>Trine (Enchanted Edition)</t>
  </si>
  <si>
    <t>Trine 2: Complete Story</t>
  </si>
  <si>
    <t>Trine 3: The Artifacts of Power</t>
  </si>
  <si>
    <t>Trine 4: The Nightmare Prince</t>
  </si>
  <si>
    <t>Viewfinder</t>
  </si>
  <si>
    <t>SKALD: Against the Black Priory</t>
  </si>
  <si>
    <t>Cassette Beasts</t>
  </si>
  <si>
    <t>We Were Here Together</t>
  </si>
  <si>
    <t>Monument Valley</t>
  </si>
  <si>
    <t>Monument Valley 2</t>
  </si>
  <si>
    <t>Disco Elysium: The Final Cut</t>
  </si>
  <si>
    <t>The Callisto Protocol</t>
  </si>
  <si>
    <t>Bloodstained: Ritual of the Night</t>
  </si>
  <si>
    <t>Train Sim World® 6: Spirit of Steam: Liverpool Lime Street - Crewe</t>
  </si>
  <si>
    <t>Requires base game (payable): Train Sim World® 6</t>
  </si>
  <si>
    <t>Paradise Killer</t>
  </si>
  <si>
    <t>Sorry We're Closed</t>
  </si>
  <si>
    <t>Blood West</t>
  </si>
  <si>
    <t>Eternights</t>
  </si>
  <si>
    <t>Shotgun King: The Final Checkmate</t>
  </si>
  <si>
    <t>Jotunnslayer: Hordes of Hel</t>
  </si>
  <si>
    <t>Hogwarts Legacy</t>
  </si>
  <si>
    <t>Dead Cells</t>
  </si>
  <si>
    <t>The Darkside Detective</t>
  </si>
  <si>
    <t>Jackbox Party Pack 4</t>
  </si>
  <si>
    <t>Universe for Sale</t>
  </si>
  <si>
    <t>Zoeti</t>
  </si>
  <si>
    <t>Godzilla Voxel Wars</t>
  </si>
  <si>
    <t>Scourgebringer</t>
  </si>
  <si>
    <t>Songs of Silence</t>
  </si>
  <si>
    <t>Zero Hour</t>
  </si>
  <si>
    <t>Idle Champions of the Forgotten Realms - Nixie's Champions of Renown Pack</t>
  </si>
  <si>
    <t>Felix The Reaper</t>
  </si>
  <si>
    <t>Bendy and the Ink Machine</t>
  </si>
  <si>
    <t>Five Nights at Freddy's: Into the Pit</t>
  </si>
  <si>
    <t>Doodle Farm: Breeds and Beasts</t>
  </si>
  <si>
    <t>Fear the Spotlight</t>
  </si>
  <si>
    <t>Samorost 3</t>
  </si>
  <si>
    <t>Amnesia: The Bunker</t>
  </si>
  <si>
    <t>Double Dragon Trilogy</t>
  </si>
  <si>
    <t>Albion Online - Rogue Journeyman Bundle</t>
  </si>
  <si>
    <t>Gravity Circuit</t>
  </si>
  <si>
    <t>Doodle Devil: Dark Side</t>
  </si>
  <si>
    <t>Firestone Online Idle RPG - Special Offer</t>
  </si>
  <si>
    <t>Nightingale</t>
  </si>
  <si>
    <t>Eastern Exorcist</t>
  </si>
  <si>
    <t>Jorel’s Brother and The Most Important Game of the Galaxy</t>
  </si>
  <si>
    <t>Road Redemption Mobile - Full Game</t>
  </si>
  <si>
    <t>Requires base game (free): Road Redemption Mobile</t>
  </si>
  <si>
    <t>Samorost 2</t>
  </si>
  <si>
    <t>Project Winter</t>
  </si>
  <si>
    <t>The Battle of Polytopia</t>
  </si>
  <si>
    <t>Ghostrunner 2</t>
  </si>
  <si>
    <t>Machinarium</t>
  </si>
  <si>
    <t>Make Way</t>
  </si>
  <si>
    <t>Strange Horticulture</t>
  </si>
  <si>
    <t>Kamaeru</t>
  </si>
  <si>
    <t>Hidden Folks</t>
  </si>
  <si>
    <t>Totally Reliable Delivery Service Standard Edition</t>
  </si>
  <si>
    <t>112 Operator</t>
  </si>
  <si>
    <t>Road Redemption</t>
  </si>
  <si>
    <t>Pilgrims</t>
  </si>
  <si>
    <t>Keylocker | Turn Based Cyberpunk Action</t>
  </si>
  <si>
    <t>Doodle Mafia: Epic Alchemy</t>
  </si>
  <si>
    <t>Legion TD 2</t>
  </si>
  <si>
    <t>There Is No Game: Wrong Dimension</t>
  </si>
  <si>
    <t>Sid Meier’s Civilization® VI Platinum Edition</t>
  </si>
  <si>
    <t>Figment 2: Creed Valley</t>
  </si>
  <si>
    <t>Sky Racket</t>
  </si>
  <si>
    <t>Figment</t>
  </si>
  <si>
    <t>Backpack Hero</t>
  </si>
  <si>
    <t>Cultist Simulator</t>
  </si>
  <si>
    <t>Sable</t>
  </si>
  <si>
    <t>Doodle God: Infinite Alchemy Merge</t>
  </si>
  <si>
    <t>The Operator</t>
  </si>
  <si>
    <t>shapez</t>
  </si>
  <si>
    <t>DC Heroes United’s - Super Power Batman Bundle DLC</t>
  </si>
  <si>
    <t>Two Point Hospital</t>
  </si>
  <si>
    <t>Ogu and the Secret Forest</t>
  </si>
  <si>
    <t>Deathloop</t>
  </si>
  <si>
    <t>Hell Let Loose - Summer Warfare Pack</t>
  </si>
  <si>
    <t>Requires base game (payable): Hell Let Loose, already gifted</t>
  </si>
  <si>
    <t>LIMBO</t>
  </si>
  <si>
    <t>Tiny Tina's Wonderlands</t>
  </si>
  <si>
    <t>Gigapocalypse</t>
  </si>
  <si>
    <t>Deliver At All Cost</t>
  </si>
  <si>
    <t>Sifu</t>
  </si>
  <si>
    <t>Fortnite -- Frosted Skyline Pack</t>
  </si>
  <si>
    <t>Happy Game</t>
  </si>
  <si>
    <t>Dead Island 2</t>
  </si>
  <si>
    <t>Asphalt Legends UNITE: Triple Decal Pack</t>
  </si>
  <si>
    <t>Epic Games MEGA Sale Cosmetic Offer</t>
  </si>
  <si>
    <t>Disney Speedstorm - Monochromatic Pack - Racer Ariel</t>
  </si>
  <si>
    <t>Fall Guys - Digi Costume</t>
  </si>
  <si>
    <t>Infinity Nikki MEGA Sale Bundle</t>
  </si>
  <si>
    <t>Neverwinter - Epic Starter Pack</t>
  </si>
  <si>
    <t>RAWMEN Sakura Gusoku Cosmetic Set</t>
  </si>
  <si>
    <t>Rocket League® - TriTrim Wheels</t>
  </si>
  <si>
    <t>SMITE 2 Thanatoasty Bundle</t>
  </si>
  <si>
    <t>Star Trek Online - Epic Starter Pack Bundle</t>
  </si>
  <si>
    <t>World of Warships — Courbet Epic Plunder Pack</t>
  </si>
  <si>
    <t>World of Warships x Azur Lane — Quest for AL Avrora</t>
  </si>
  <si>
    <t>Wuthering Waves Giveaway</t>
  </si>
  <si>
    <t>MR RACER: Premium</t>
  </si>
  <si>
    <t>Deadtime Defenders</t>
  </si>
  <si>
    <t>Touch Type Tale</t>
  </si>
  <si>
    <t>LEGO® Star Wars™: The Skywalker Saga</t>
  </si>
  <si>
    <t>Star Wars day: May the 4th be with you</t>
  </si>
  <si>
    <t>Super Space Club</t>
  </si>
  <si>
    <t>Chuchel</t>
  </si>
  <si>
    <t>Loop Hero</t>
  </si>
  <si>
    <t>Albion Online - Free Welcome Gift</t>
  </si>
  <si>
    <t>Botanicula</t>
  </si>
  <si>
    <t>Bridge Constructor: The Walking Dead</t>
  </si>
  <si>
    <t>Arcadgeddon Promo bundle</t>
  </si>
  <si>
    <t>Idle Champions of the Forgotten Realms - Astarion's Champions of Renown Pack</t>
  </si>
  <si>
    <t>River City Girls</t>
  </si>
  <si>
    <t>Doodle Kingdom: Medieval</t>
  </si>
  <si>
    <t>Cat Quest II</t>
  </si>
  <si>
    <t>Evoland 2</t>
  </si>
  <si>
    <t>Out There - Omega Edition</t>
  </si>
  <si>
    <t>Cat Quest</t>
  </si>
  <si>
    <t>Epic Games Store Spring Sale 2025</t>
  </si>
  <si>
    <t>Neko Ghost, Jump</t>
  </si>
  <si>
    <t>Dragon Age: The Veilguard - Rook’s Weapons Appearance</t>
  </si>
  <si>
    <t>Requires base game (payable): Dragon Age: The Veilguard</t>
  </si>
  <si>
    <t>Super Meat Boy Forever Mobile</t>
  </si>
  <si>
    <t>Jurassic World Evolution 2</t>
  </si>
  <si>
    <t>Mortal Shell</t>
  </si>
  <si>
    <t>World of Warships — Anniversary Party Favor</t>
  </si>
  <si>
    <t>Them's Fightin' Herds</t>
  </si>
  <si>
    <t>Mages of Mystralia</t>
  </si>
  <si>
    <t>STAR WARS™ Knights of the Old Republic™</t>
  </si>
  <si>
    <t>STAR WARS™ Knights of the Old Republic™ II - The Sith Lords™</t>
  </si>
  <si>
    <t>Garden Story</t>
  </si>
  <si>
    <t>World War Z: Aftermath</t>
  </si>
  <si>
    <t>This game adds "World War Z: Aftermath Upgrade" to the one from 2020-03-26?</t>
  </si>
  <si>
    <t>Apex Legends™: Loba Free Unlock Bundle</t>
  </si>
  <si>
    <t>F1® Manager 2024</t>
  </si>
  <si>
    <t>Beyond Blue</t>
  </si>
  <si>
    <t>HUMANKIND™</t>
  </si>
  <si>
    <t>Undying</t>
  </si>
  <si>
    <t>Dying Light - 10th Anniversary Bundle</t>
  </si>
  <si>
    <t>Dungeon of the Endless: Apogee</t>
  </si>
  <si>
    <t>Behind the Frame: The Finest Scenery</t>
  </si>
  <si>
    <t>Escape Academy</t>
  </si>
  <si>
    <t>Turmoil</t>
  </si>
  <si>
    <t>Hell Let Loose</t>
  </si>
  <si>
    <t>Kingdom Come: Deliverance</t>
  </si>
  <si>
    <t>SIFU</t>
  </si>
  <si>
    <t>[REDACTED]</t>
  </si>
  <si>
    <t>Orcs Must Die! 3</t>
  </si>
  <si>
    <t>Kill Knight</t>
  </si>
  <si>
    <t>HOT WHEELS UNLEASHED™</t>
  </si>
  <si>
    <t>Control</t>
  </si>
  <si>
    <t>Dredge</t>
  </si>
  <si>
    <t>Dark and Darker - Legendary Status</t>
  </si>
  <si>
    <t>Wizard of Legend</t>
  </si>
  <si>
    <t>TerraTech</t>
  </si>
  <si>
    <t>Astrea: Six Sided Oracles</t>
  </si>
  <si>
    <t>Train Sim World® 5: Sherman Hill: Cheyenne - Laramie</t>
  </si>
  <si>
    <t>Requires base game (payable): Train Sim World® 5</t>
  </si>
  <si>
    <t>Vampire Survivors</t>
  </si>
  <si>
    <t>The Lord of the Rings™: Return to Moria™</t>
  </si>
  <si>
    <t>Bus Simulator 21 Next Stop</t>
  </si>
  <si>
    <t>Brotato</t>
  </si>
  <si>
    <t>Beholder</t>
  </si>
  <si>
    <t>Castlevania Anniversary Collection</t>
  </si>
  <si>
    <t>Snakebird Complete</t>
  </si>
  <si>
    <t>Apex Legends™: Ash Free Unlock Bundle</t>
  </si>
  <si>
    <t>Deceive Inc.</t>
  </si>
  <si>
    <t>Ghostwire: Tokyo</t>
  </si>
  <si>
    <t>Witch It</t>
  </si>
  <si>
    <t>Moving Out</t>
  </si>
  <si>
    <t>Invincible Presents: Atom Eve</t>
  </si>
  <si>
    <t>Kardboard Kings</t>
  </si>
  <si>
    <t>Empyrion - Galactic Survival</t>
  </si>
  <si>
    <t>Outliver: Tribulation</t>
  </si>
  <si>
    <t>World of Warships x TMNT — Mission: Free Permanent Camo Unlock</t>
  </si>
  <si>
    <t>Bear and Breakfast</t>
  </si>
  <si>
    <t>The Spirit and the Mouse</t>
  </si>
  <si>
    <t>The Last Stand: Aftermath</t>
  </si>
  <si>
    <t>TOEM</t>
  </si>
  <si>
    <t>Rugrats: Adventures in Gameland</t>
  </si>
  <si>
    <t>SUPER CRAZY RHYTHM CASTLE</t>
  </si>
  <si>
    <t>Football Manager 2024</t>
  </si>
  <si>
    <t>Sniper Ghost Warrior Contracts</t>
  </si>
  <si>
    <t>Fallout® Classic Collection</t>
  </si>
  <si>
    <t>Fallout: A Post Nuclear Role Playing Game</t>
  </si>
  <si>
    <t>Fallout 2: A Post Nuclear Role Playing Game</t>
  </si>
  <si>
    <t>Fallout Tactics: Brotherhood of Steel</t>
  </si>
  <si>
    <t>Wild Card Football</t>
  </si>
  <si>
    <t>Gigantic: Rampage Edition</t>
  </si>
  <si>
    <t>Death's Gambit: Afterlife</t>
  </si>
  <si>
    <t>World of Warships — Starter Pack: Albany</t>
  </si>
  <si>
    <t>Apex Legends™: Conduit Free Unlock Bundle</t>
  </si>
  <si>
    <t>CYGNI - All Guns Blazing</t>
  </si>
  <si>
    <t>DNF Duel</t>
  </si>
  <si>
    <t>LumbearJack</t>
  </si>
  <si>
    <t>RAWMEN: Food Fighter Arena 🍜</t>
  </si>
  <si>
    <t>F.I.S.T.: Forged In Shadow Torch</t>
  </si>
  <si>
    <t>Olympics™ Go! Paris 2024 - Exclusive Outfits pack</t>
  </si>
  <si>
    <t>Arcade Paradise</t>
  </si>
  <si>
    <t>Maid of Sker</t>
  </si>
  <si>
    <t>Floppy Knights</t>
  </si>
  <si>
    <t>The Falconeer: Standard Edition</t>
  </si>
  <si>
    <t>Sunless Skies: Sovereign Edition</t>
  </si>
  <si>
    <t>Freshly Frosted</t>
  </si>
  <si>
    <t>Rumble Club - Free Game of the Week Bonus</t>
  </si>
  <si>
    <t>Crime Boss: Rockay City - Cagnali's Order</t>
  </si>
  <si>
    <t>Requires base game (payable): Crime Boss: Rockay City</t>
  </si>
  <si>
    <t>Crime Boss: Rockay City - Dragon's Gold Cup</t>
  </si>
  <si>
    <t>Crime Boss: Rockay City - Heavy Hitters Pack</t>
  </si>
  <si>
    <t>Crime Boss: Rockay City - Tactical Weapon Pack</t>
  </si>
  <si>
    <t>Idle Champions of the Forgotten Realms - Dungeon &amp; Dragons Pack</t>
  </si>
  <si>
    <t>Redout 2</t>
  </si>
  <si>
    <t>Marvel’s Midnight Suns</t>
  </si>
  <si>
    <t>Warhammer 40,000: Gladius - Relics of War</t>
  </si>
  <si>
    <t>Warhammer Skulls 2024 Event</t>
  </si>
  <si>
    <t>Farming Simulator 22</t>
  </si>
  <si>
    <t>Echo Starter Pack</t>
  </si>
  <si>
    <t>Dragon Age: Inquisition - Game of the Year Edition</t>
  </si>
  <si>
    <t>Circus Electrique</t>
  </si>
  <si>
    <t>Firestone Free Offer</t>
  </si>
  <si>
    <t>Cat Quest 2</t>
  </si>
  <si>
    <t>INDUSTRIA</t>
  </si>
  <si>
    <t>LISA: Definitive Edition</t>
  </si>
  <si>
    <t>LISA: The Joyful - Definitive Edition</t>
  </si>
  <si>
    <t>LISA: The Painful - Definitive Edition</t>
  </si>
  <si>
    <t>The Big Con</t>
  </si>
  <si>
    <t>Town of Salem 2</t>
  </si>
  <si>
    <t>Ghostrunner</t>
  </si>
  <si>
    <t>The Outer Worlds: Spacer's Choice Edition</t>
  </si>
  <si>
    <t>Thief</t>
  </si>
  <si>
    <t>Islets</t>
  </si>
  <si>
    <t>World of Warships — Starter Pack: Dreadnought</t>
  </si>
  <si>
    <t>Also 2021-05-05 (not listed)</t>
  </si>
  <si>
    <t>Call of the Wild: The Angler™</t>
  </si>
  <si>
    <t>The Sims™ 4 - Backyard Stuff</t>
  </si>
  <si>
    <t>Deus Ex: Mankind Divided</t>
  </si>
  <si>
    <t>The Bridge</t>
  </si>
  <si>
    <t>Astro Duel 2</t>
  </si>
  <si>
    <t xml:space="preserve">Aerial_Knight's Never Yield
</t>
  </si>
  <si>
    <t>Super Meat Boy Forever</t>
  </si>
  <si>
    <t>Dakar Desert Rally</t>
  </si>
  <si>
    <t>Dying Light - Shu Warrior Bundle</t>
  </si>
  <si>
    <t>Requires base game (payable): Dying Light, already gifted</t>
  </si>
  <si>
    <t>Doki Doki Literature Club Plus!</t>
  </si>
  <si>
    <t>Lost Castle</t>
  </si>
  <si>
    <t>Doors: Paradox</t>
  </si>
  <si>
    <t>Infinifactory</t>
  </si>
  <si>
    <t>LOVE</t>
  </si>
  <si>
    <t>LOVE (enhanced version, 2014)</t>
  </si>
  <si>
    <t>LOVE Classic (classic version, 2008 recoded in 2020)</t>
  </si>
  <si>
    <t>Sail Forth</t>
  </si>
  <si>
    <t>Marvel's Guardians of the Galaxy</t>
  </si>
  <si>
    <t>A Plague Tale: Innocence</t>
  </si>
  <si>
    <t>20 Minutes Till Dawn</t>
  </si>
  <si>
    <t>Saints Row</t>
  </si>
  <si>
    <t>Cursed to Golf</t>
  </si>
  <si>
    <t>Human Resource Machine</t>
  </si>
  <si>
    <t>Fallout 3: Game of the Year Edition</t>
  </si>
  <si>
    <t>art of rally</t>
  </si>
  <si>
    <t>Melvor Idle</t>
  </si>
  <si>
    <t>Destiny 2: Legacy Collection</t>
  </si>
  <si>
    <t>Destiny 2: The Witch Queen</t>
  </si>
  <si>
    <t>Destiny 2: Beyond Light</t>
  </si>
  <si>
    <t>Destiny 2: Shadowkeep</t>
  </si>
  <si>
    <t>Warhammer 40,000: Rogue Trader - Limited Outfit Pack</t>
  </si>
  <si>
    <t>Requires base game (payable), Warhammer 40,000: Rogue Trader</t>
  </si>
  <si>
    <t>Gigabash</t>
  </si>
  <si>
    <t>Predecessor</t>
  </si>
  <si>
    <t>The Sims™ 4 - My First Pet Stuff</t>
  </si>
  <si>
    <t>Jitsu Squad</t>
  </si>
  <si>
    <t>Mighty Fight Federation</t>
  </si>
  <si>
    <t>Deliver Us Mars</t>
  </si>
  <si>
    <t>EARTHLOCK</t>
  </si>
  <si>
    <t>Surviving the Aftermath</t>
  </si>
  <si>
    <t>Suicide Squad: Kill the Justice League</t>
  </si>
  <si>
    <t>Fail with the preorder for a few hours, no idea if the preorder have been cancelled</t>
  </si>
  <si>
    <t>Golden Light</t>
  </si>
  <si>
    <t>Turnip Boy Commits Tax Evasion</t>
  </si>
  <si>
    <t>Tandem: A Tale of Shadows</t>
  </si>
  <si>
    <t>The Evil Within 2</t>
  </si>
  <si>
    <t>Eternal Threads</t>
  </si>
  <si>
    <t>The Evil Within</t>
  </si>
  <si>
    <t>Blazing Sails</t>
  </si>
  <si>
    <t>Q.U.B.E. ULTIMATE BUNDLE</t>
  </si>
  <si>
    <t>Godlike Burger</t>
  </si>
  <si>
    <t>Model Builder</t>
  </si>
  <si>
    <t>Soulstice</t>
  </si>
  <si>
    <t>Out of Line</t>
  </si>
  <si>
    <t>We Were Here Expeditions: The FriendShip</t>
  </si>
  <si>
    <t>911 Operator</t>
  </si>
  <si>
    <t>Spelldrifter</t>
  </si>
  <si>
    <t>Cave Story+</t>
  </si>
  <si>
    <t>Homeworld: Deserts of Kharak</t>
  </si>
  <si>
    <t>Black Book</t>
  </si>
  <si>
    <t>Dodo Peak</t>
  </si>
  <si>
    <t>Europa Universalis IV</t>
  </si>
  <si>
    <t>Orwell: Keeping an Eye on You</t>
  </si>
  <si>
    <t>Homeworld Remastered Collection</t>
  </si>
  <si>
    <t>Severed Steel</t>
  </si>
  <si>
    <t>Murder by Numbers</t>
  </si>
  <si>
    <t>The Elder Scrolls Online</t>
  </si>
  <si>
    <t>Train Valley 2</t>
  </si>
  <si>
    <t>GRIME</t>
  </si>
  <si>
    <t>The Dungeon of Naheulbeuk: The Amulet Of Chaos</t>
  </si>
  <si>
    <t>Idle Champions of the Forgotten Realms - Wulfgar's Legends of Renown Pack</t>
  </si>
  <si>
    <t>theHunter: Call of the Wild</t>
  </si>
  <si>
    <t>Guacamelee! Super Turbo Championship Edition</t>
  </si>
  <si>
    <t>Guacamelee! 2</t>
  </si>
  <si>
    <t>PAYDAY 2</t>
  </si>
  <si>
    <t>Midnight Ghost Hunt</t>
  </si>
  <si>
    <t>Train Sim World 2 - LGV Méditerranée: Marseille - Avignon</t>
  </si>
  <si>
    <t>Fallout: New Vegas - Ultimate Edition</t>
  </si>
  <si>
    <t>DEATH STRANDING</t>
  </si>
  <si>
    <t>The Sims 4 - The Daring Lifestyle Bundle</t>
  </si>
  <si>
    <t>The Sims 4 - Fashion Street Kit</t>
  </si>
  <si>
    <t>The Sims 4 - Jungle Adventure Game Pack</t>
  </si>
  <si>
    <t>The Sims 4 - Luxury Party Stuff Pack</t>
  </si>
  <si>
    <t>Against All Odds</t>
  </si>
  <si>
    <t>Kao the Kangaroo</t>
  </si>
  <si>
    <t>Horizon Chase Turbo</t>
  </si>
  <si>
    <t>Breathedge</t>
  </si>
  <si>
    <t>Poker Club</t>
  </si>
  <si>
    <t>Never Alone (Kisima Ingitchuna)</t>
  </si>
  <si>
    <t>MORDHAU</t>
  </si>
  <si>
    <t>Second Extinction</t>
  </si>
  <si>
    <t>Dying Light: Enhanced Edition</t>
  </si>
  <si>
    <t>The Silent Age</t>
  </si>
  <si>
    <t>Tunche</t>
  </si>
  <si>
    <t>Chess Ultra</t>
  </si>
  <si>
    <t>World of Warships — Starter Pack: Ishizuchi</t>
  </si>
  <si>
    <t>Call of the Sea</t>
  </si>
  <si>
    <t>Clash - Lone Fighter Pack</t>
  </si>
  <si>
    <t>Rise of Industry</t>
  </si>
  <si>
    <t>Duskers</t>
  </si>
  <si>
    <t>Warpips</t>
  </si>
  <si>
    <t>Recipe for Disaster</t>
  </si>
  <si>
    <t>City of Gangsters</t>
  </si>
  <si>
    <t>Dishonored: Death of the Outsider</t>
  </si>
  <si>
    <t>Adios</t>
  </si>
  <si>
    <t>Hell is Others</t>
  </si>
  <si>
    <t xml:space="preserve"> The Cycle: Frontier - Fortuna Survivor</t>
  </si>
  <si>
    <t>Epistory - Typing Chronicles</t>
  </si>
  <si>
    <t>Divine Knockout (DKO)</t>
  </si>
  <si>
    <t>First Class Trouble</t>
  </si>
  <si>
    <t>Gamedec - Definitive Edition</t>
  </si>
  <si>
    <t>Kerbal Space Program</t>
  </si>
  <si>
    <t>Shadow Tactics: Aiko's Choice</t>
  </si>
  <si>
    <t>Dishonored - Definitive Edition</t>
  </si>
  <si>
    <t>Eximius: Seize the Frontline</t>
  </si>
  <si>
    <t>DEATH STRANDING Director's Cut</t>
  </si>
  <si>
    <t>Fail for a few hours, the game is still on the accounts</t>
  </si>
  <si>
    <t>Metro: Last Light Redux</t>
  </si>
  <si>
    <t>Encased: A Sci-Fi Post-Apocalyptic RPG</t>
  </si>
  <si>
    <t>LEGO Builder's Journey</t>
  </si>
  <si>
    <t>Wolfenstein: The New Order</t>
  </si>
  <si>
    <t>Costume Quest 2</t>
  </si>
  <si>
    <t xml:space="preserve">Saints Row IV: Re-Elected </t>
  </si>
  <si>
    <t>Wildcat Gun Machine</t>
  </si>
  <si>
    <t>Fort Triumph</t>
  </si>
  <si>
    <t>RPG in a Box</t>
  </si>
  <si>
    <t>STAR WARS: Squadrons</t>
  </si>
  <si>
    <t>Dark Deity</t>
  </si>
  <si>
    <t>Evil Dead: The Game</t>
  </si>
  <si>
    <t>Rumbleverse - Epic Cheerleader Pack</t>
  </si>
  <si>
    <t>Alba - A Wildlife Adventure</t>
  </si>
  <si>
    <t>Shadow Tactics: Blades of the Shogun</t>
  </si>
  <si>
    <t>Filament</t>
  </si>
  <si>
    <t>Rising Storm 2: Vietnam</t>
  </si>
  <si>
    <t>Saturnalia</t>
  </si>
  <si>
    <t>Warhammer 40,000: Mechanicus</t>
  </si>
  <si>
    <t>Evoland Legendary Edition</t>
  </si>
  <si>
    <t>Darkwood</t>
  </si>
  <si>
    <t>ToeJam &amp; Earl: Back in the Groove!</t>
  </si>
  <si>
    <t>Rising Hell</t>
  </si>
  <si>
    <t>Slain: Back From Hell</t>
  </si>
  <si>
    <t>Runbow</t>
  </si>
  <si>
    <t>The Drone Racing League Simulator</t>
  </si>
  <si>
    <t>ARK: Survival Evolved</t>
  </si>
  <si>
    <t>Gloomhaven</t>
  </si>
  <si>
    <t>Spirit of the North</t>
  </si>
  <si>
    <t>The Captain</t>
  </si>
  <si>
    <t>Hundred Days: Winemaking Simulator</t>
  </si>
  <si>
    <t>Realm Royale Reforged - Epic Launch Bundle</t>
  </si>
  <si>
    <t>Knockout City</t>
  </si>
  <si>
    <t>Shadow of the Tomb Raider: Definitive Edition</t>
  </si>
  <si>
    <t>Submerged: Hidden Depths</t>
  </si>
  <si>
    <t>Ring of Pain</t>
  </si>
  <si>
    <t>Destiny 2: Bungie 30th Anniversary Pack</t>
  </si>
  <si>
    <t>DOOM 64</t>
  </si>
  <si>
    <t>Rumbleverse - Boom Boxer Content Pack</t>
  </si>
  <si>
    <t>Cook, Serve, Delicious! 3?!</t>
  </si>
  <si>
    <t>Unrailed!</t>
  </si>
  <si>
    <t>Lawn Mowing Simulator</t>
  </si>
  <si>
    <t>Shop Titans - Exclusive Package</t>
  </si>
  <si>
    <t>Tannenberg</t>
  </si>
  <si>
    <t>Idle Champions of the Forgotten Realms - Gladiators of the Black Pits Pack</t>
  </si>
  <si>
    <t>Ancient Enemy</t>
  </si>
  <si>
    <t>Killing Floor 2</t>
  </si>
  <si>
    <t>Geneforge 1 - Mutagen</t>
  </si>
  <si>
    <t>Hood: Outlaws &amp; Legends</t>
  </si>
  <si>
    <t>Iratus: Lord of the Dead</t>
  </si>
  <si>
    <t>A Game Of Thrones: The Board Game Digital Edition</t>
  </si>
  <si>
    <t>Car Mechanic Simulator 2018</t>
  </si>
  <si>
    <t>Supraland</t>
  </si>
  <si>
    <t>Maneater</t>
  </si>
  <si>
    <t>BioShock: The Collection</t>
  </si>
  <si>
    <t>BioShock Remastered</t>
  </si>
  <si>
    <t>BioShock 2 Remastered</t>
  </si>
  <si>
    <t>BioShock Infinite: The Complete Edition</t>
  </si>
  <si>
    <t>Borderlands 3</t>
  </si>
  <si>
    <t>Prey Digital Deluxe</t>
  </si>
  <si>
    <t>Jotun: Valhalla Edition</t>
  </si>
  <si>
    <t>Redout: Enhanced Edition</t>
  </si>
  <si>
    <t>Terraforming Mars</t>
  </si>
  <si>
    <t>Just Die Already</t>
  </si>
  <si>
    <t>Paradigm</t>
  </si>
  <si>
    <t>Amnesia: Rebirth</t>
  </si>
  <si>
    <t>Riverbond</t>
  </si>
  <si>
    <t>Insurmountable</t>
  </si>
  <si>
    <t>XCOM 2</t>
  </si>
  <si>
    <t>Rogue Legacy</t>
  </si>
  <si>
    <t>The Vanishing of Ethan Carter</t>
  </si>
  <si>
    <t>City of Brass</t>
  </si>
  <si>
    <t>Total War: WARHAMMER</t>
  </si>
  <si>
    <t>DEMON'S TILT</t>
  </si>
  <si>
    <t>In Sound Mind</t>
  </si>
  <si>
    <t>Cities: Skylines</t>
  </si>
  <si>
    <t>Black Widow: Recharged</t>
  </si>
  <si>
    <t>Centipede: Recharged</t>
  </si>
  <si>
    <t>Dauntless - Epic Slayer Kit</t>
  </si>
  <si>
    <t>Cris Tales</t>
  </si>
  <si>
    <t>Brothers: A Tale of Two Sons</t>
  </si>
  <si>
    <t>Windbound</t>
  </si>
  <si>
    <t>Yooka-Laylee and the Impossible Lair</t>
  </si>
  <si>
    <t>DAEMON X MACHINA</t>
  </si>
  <si>
    <t>Relicta</t>
  </si>
  <si>
    <t>Galactic Civilizations III</t>
  </si>
  <si>
    <t>Gods Will Fall</t>
  </si>
  <si>
    <t>Tomb Raider Trilogy</t>
  </si>
  <si>
    <t>Tomb Raider GAME OF THE YEAR EDITION</t>
  </si>
  <si>
    <t>Rise of the Tomb Raider: 20 Year Celebration</t>
  </si>
  <si>
    <t>Salt and Sanctuary</t>
  </si>
  <si>
    <t>Pathfinder: Kingmaker - Enhanced Plus Edition</t>
  </si>
  <si>
    <t>Vampyr</t>
  </si>
  <si>
    <t>Mutant Year Zero: Road to Eden</t>
  </si>
  <si>
    <t>Remnant: From the Ashes</t>
  </si>
  <si>
    <t>Neon Abyss</t>
  </si>
  <si>
    <t>Shenmue III</t>
  </si>
  <si>
    <t>Godfall: Challenger Edition</t>
  </si>
  <si>
    <t>Prison Architect</t>
  </si>
  <si>
    <t>Dead by Daylight</t>
  </si>
  <si>
    <t>while True: learn()</t>
  </si>
  <si>
    <t>Antstream - Epic Welcome Pack</t>
  </si>
  <si>
    <t>Guild of Dungeoneering Ultimate Edition</t>
  </si>
  <si>
    <t>KID A MNESIA EXHIBITION</t>
  </si>
  <si>
    <t>Rogue Company - Season Four Epic Pack</t>
  </si>
  <si>
    <t>Tiny Tina's Assault on Dragon Keep: A Wonderlands One-shot Adventure</t>
  </si>
  <si>
    <t>Aven Colony</t>
  </si>
  <si>
    <t>DARQ: Complete Edition</t>
  </si>
  <si>
    <t>Among the Sleep Enhanced Edition</t>
  </si>
  <si>
    <t>Paladins - Epic Pack</t>
  </si>
  <si>
    <t>Stubbs the Zombie in Rebel Without a Pulse</t>
  </si>
  <si>
    <t>PC Building Simulator</t>
  </si>
  <si>
    <t>Tom Clancy’s Ghost Recon Wildlands - Fallen Ghosts</t>
  </si>
  <si>
    <t>2064: Read Only Memories</t>
  </si>
  <si>
    <t>The Escapists</t>
  </si>
  <si>
    <t>Speed Brawl</t>
  </si>
  <si>
    <t>Tharsis</t>
  </si>
  <si>
    <t>Nioh: The Complete Edition</t>
  </si>
  <si>
    <t>Sheltered</t>
  </si>
  <si>
    <t>Yoku's Island Express</t>
  </si>
  <si>
    <t>Automachef</t>
  </si>
  <si>
    <t>Saints Row: The Third - Remastered</t>
  </si>
  <si>
    <t>Void Bastards</t>
  </si>
  <si>
    <t>Yooka-Laylee</t>
  </si>
  <si>
    <t>Rebel Galaxy</t>
  </si>
  <si>
    <t>Minit</t>
  </si>
  <si>
    <t>MOTHERGUNSHIP</t>
  </si>
  <si>
    <t>Train Sim World 2</t>
  </si>
  <si>
    <t>Defense Grid: The Awakening</t>
  </si>
  <si>
    <t>Verdun</t>
  </si>
  <si>
    <t>Obduction</t>
  </si>
  <si>
    <t>Offworld Trading Company</t>
  </si>
  <si>
    <t>Ironcast</t>
  </si>
  <si>
    <t>The Spectrum Retreat</t>
  </si>
  <si>
    <t>Sonic Mania</t>
  </si>
  <si>
    <t>Hell is Other Demons</t>
  </si>
  <si>
    <t>Overcooked! 2</t>
  </si>
  <si>
    <t>Frostpunk</t>
  </si>
  <si>
    <t>Among Us</t>
  </si>
  <si>
    <t>NBA 2K21</t>
  </si>
  <si>
    <t>The Lion's Song</t>
  </si>
  <si>
    <t>Pine</t>
  </si>
  <si>
    <t>World of Warships Exclusive Starter Pack</t>
  </si>
  <si>
    <t>Idle Champions of the Forgotten Realms - Epic Champions of Renown Pack</t>
  </si>
  <si>
    <t>Alien: Isolation - Last Survivor</t>
  </si>
  <si>
    <t>Alien: Isolation</t>
  </si>
  <si>
    <t>Hand of Fate 2</t>
  </si>
  <si>
    <t>Deponia: The Complete Journey</t>
  </si>
  <si>
    <t>Ken Follett's The Pillars of the Earth</t>
  </si>
  <si>
    <t>The First Tree</t>
  </si>
  <si>
    <t>3 out of 10: Season Two</t>
  </si>
  <si>
    <t>Tales of the Neon Sea</t>
  </si>
  <si>
    <t>Creature in the Well</t>
  </si>
  <si>
    <t>The Fall</t>
  </si>
  <si>
    <t>Surviving Mars</t>
  </si>
  <si>
    <t>Wargame: Red Dragon</t>
  </si>
  <si>
    <t>Sunless Sea</t>
  </si>
  <si>
    <t>Absolute Drift</t>
  </si>
  <si>
    <t>RAGE 2</t>
  </si>
  <si>
    <t>Halcyon 6: Starbase Commander</t>
  </si>
  <si>
    <t>For The King</t>
  </si>
  <si>
    <t xml:space="preserve">Dandara: Trials of Fear Edition </t>
  </si>
  <si>
    <t>STAR WARS Battlefront II: Celebration Edition</t>
  </si>
  <si>
    <t>Crying Suns</t>
  </si>
  <si>
    <t>Jurassic World Evolution</t>
  </si>
  <si>
    <t>Torchlight II</t>
  </si>
  <si>
    <t>Solitairica</t>
  </si>
  <si>
    <t>Stranded Deep</t>
  </si>
  <si>
    <t>Night in the Woods</t>
  </si>
  <si>
    <t>My Time At Portia</t>
  </si>
  <si>
    <t>Darkest Dungeon</t>
  </si>
  <si>
    <t>INSIDE</t>
  </si>
  <si>
    <t>Tropico 5</t>
  </si>
  <si>
    <t>Metro 2033 Redux</t>
  </si>
  <si>
    <t>The Long Dark</t>
  </si>
  <si>
    <t>Oddworld: New 'n' Tasty</t>
  </si>
  <si>
    <t>Pillars of Eternity: Definitive Edition</t>
  </si>
  <si>
    <t>Tyranny: Gold Edition</t>
  </si>
  <si>
    <t>MudRunner</t>
  </si>
  <si>
    <t>Elite Dangerous</t>
  </si>
  <si>
    <t>The World Next Door</t>
  </si>
  <si>
    <t>The Textorcist: The Story of Ray Bibbia</t>
  </si>
  <si>
    <t>Dungeons 3</t>
  </si>
  <si>
    <t>Blair Witch</t>
  </si>
  <si>
    <t>Ghostbusters: The Video Game Remastered</t>
  </si>
  <si>
    <t>Layers of Fear 2</t>
  </si>
  <si>
    <t>Amnesia: A Machine for Pigs</t>
  </si>
  <si>
    <t>Kingdom: New Lands</t>
  </si>
  <si>
    <t>ABZÛ</t>
  </si>
  <si>
    <t>Pikuniku</t>
  </si>
  <si>
    <t>RollerCoaster Tycoon 3: Complete Edition</t>
  </si>
  <si>
    <t>Football Manager 2020</t>
  </si>
  <si>
    <t>Stick it to The Man!</t>
  </si>
  <si>
    <t>Watch_Dogs 2</t>
  </si>
  <si>
    <t>Railway Empire</t>
  </si>
  <si>
    <t>Where the Water Tastes Like Wine</t>
  </si>
  <si>
    <t>Into the Breach</t>
  </si>
  <si>
    <t>Borderlands 2 - Commander Lilith &amp; the Fight for Sanctuary</t>
  </si>
  <si>
    <t>Hitman</t>
  </si>
  <si>
    <t>Shadowrun Collection</t>
  </si>
  <si>
    <t>Shadowrun Returns</t>
  </si>
  <si>
    <t>Shadowrun: Dragonfall - Director's Cut</t>
  </si>
  <si>
    <t>Shadowrun: Hong Kong - Extended Edition</t>
  </si>
  <si>
    <t>God's Trigger</t>
  </si>
  <si>
    <t>Enter the Gungeon</t>
  </si>
  <si>
    <t>Remnant: From The Ashes</t>
  </si>
  <si>
    <t>The Alto Collection</t>
  </si>
  <si>
    <t>A Total War Saga: Troy</t>
  </si>
  <si>
    <t>3 out of 10, EP 1: "Welcome To Shovelworks"</t>
  </si>
  <si>
    <t>Wilmot's Warehouse</t>
  </si>
  <si>
    <t>20XX</t>
  </si>
  <si>
    <t>Barony</t>
  </si>
  <si>
    <t>Superbrothers: Sword &amp; Sworcery EP</t>
  </si>
  <si>
    <t>Next Up Hero</t>
  </si>
  <si>
    <t>Tacoma</t>
  </si>
  <si>
    <t>Lifeless Planet: Premier Edition</t>
  </si>
  <si>
    <t>The Escapists 2</t>
  </si>
  <si>
    <t>Hue</t>
  </si>
  <si>
    <t>Aer: Memories of Old</t>
  </si>
  <si>
    <t>Stranger Things 3: The Game</t>
  </si>
  <si>
    <t>Pathway</t>
  </si>
  <si>
    <t>Ark: Survival Evolved</t>
  </si>
  <si>
    <t>Samurai Shodown Neogeo Collection</t>
  </si>
  <si>
    <t>Overcooked</t>
  </si>
  <si>
    <t>Sludge Life</t>
  </si>
  <si>
    <t>Borderlands: The Handsome Collection</t>
  </si>
  <si>
    <t>Borderlands 2</t>
  </si>
  <si>
    <t>Borderlands: The Pre-Sequel</t>
  </si>
  <si>
    <t>Sid Meier's Civilization VI</t>
  </si>
  <si>
    <t>Grand Theft Auto V</t>
  </si>
  <si>
    <t>Death Coming</t>
  </si>
  <si>
    <t>Amnesia: The Dark Descent</t>
  </si>
  <si>
    <t>Crashlands</t>
  </si>
  <si>
    <t>Just Cause 4</t>
  </si>
  <si>
    <t>Wheels of Aurelia</t>
  </si>
  <si>
    <t>Close to the Sun</t>
  </si>
  <si>
    <t>Sherlock Holmes: Crimes and Punishments</t>
  </si>
  <si>
    <t>Gone Home</t>
  </si>
  <si>
    <t>Hob</t>
  </si>
  <si>
    <t>Totally Reliable Delivery Service</t>
  </si>
  <si>
    <t>Drawful 2</t>
  </si>
  <si>
    <t>Tormentor❌Punisher</t>
  </si>
  <si>
    <t>World War Z</t>
  </si>
  <si>
    <t>The Stanley Parable</t>
  </si>
  <si>
    <t>Watch_Dogs</t>
  </si>
  <si>
    <t>A Short Hike</t>
  </si>
  <si>
    <t>Anodyne 2: Return to Dust</t>
  </si>
  <si>
    <t>Mutazione</t>
  </si>
  <si>
    <t>GoNNER</t>
  </si>
  <si>
    <t>InnerSpace</t>
  </si>
  <si>
    <t>Assassin's Creed: Syndicate</t>
  </si>
  <si>
    <t>Faeria</t>
  </si>
  <si>
    <t>Aztez</t>
  </si>
  <si>
    <t>Carcassonne</t>
  </si>
  <si>
    <t>Ticket to Ride</t>
  </si>
  <si>
    <t>Farming Simulator 19</t>
  </si>
  <si>
    <t>Horace</t>
  </si>
  <si>
    <t>Sundered: Eldritch Edition</t>
  </si>
  <si>
    <t>Darksiders Fury's Collection</t>
  </si>
  <si>
    <t>Darksiders: Warmastered Edition</t>
  </si>
  <si>
    <t>Darksiders II: Deathinitive Edition</t>
  </si>
  <si>
    <t>Steep</t>
  </si>
  <si>
    <t>Hello Neighbor</t>
  </si>
  <si>
    <t>The Talos Principle</t>
  </si>
  <si>
    <t>Hyper Light Drifter</t>
  </si>
  <si>
    <t>FTL: Faster Than Light</t>
  </si>
  <si>
    <t>Totally Accurate Battle Simulator</t>
  </si>
  <si>
    <t>Celeste</t>
  </si>
  <si>
    <t>APE OUT</t>
  </si>
  <si>
    <t>Little Inferno</t>
  </si>
  <si>
    <t>SUPERHOT</t>
  </si>
  <si>
    <t xml:space="preserve">TowerFall Ascension </t>
  </si>
  <si>
    <t>The Wolf Among Us</t>
  </si>
  <si>
    <t>Rayman Legends</t>
  </si>
  <si>
    <t>Bad North: Jotunn Edition</t>
  </si>
  <si>
    <t>The Messenger</t>
  </si>
  <si>
    <t>Nuclear Throne</t>
  </si>
  <si>
    <t>RUINER</t>
  </si>
  <si>
    <t>Costume Quest</t>
  </si>
  <si>
    <t>SOMA</t>
  </si>
  <si>
    <t>Layers of Fear: Masterpiece Edition</t>
  </si>
  <si>
    <t>Q.U.B.E. 2</t>
  </si>
  <si>
    <t>&gt;observer_</t>
  </si>
  <si>
    <t>Alan Wake's American Nightmare</t>
  </si>
  <si>
    <t>Everything</t>
  </si>
  <si>
    <t>Batman Arkham - Trilogy</t>
  </si>
  <si>
    <t>Batman: Arkham Asylum Game of the Year Edition</t>
  </si>
  <si>
    <t>Batman: Arkham City - Game of the Year Edition</t>
  </si>
  <si>
    <t>Batman: Arkham Knight</t>
  </si>
  <si>
    <t>Lego Batman Trilogy</t>
  </si>
  <si>
    <t>LEGO Batman: The Videogame</t>
  </si>
  <si>
    <t>LEGO Batman 2: DC Super Heroes</t>
  </si>
  <si>
    <t>LEGO Batman 3: Beyond Gotham</t>
  </si>
  <si>
    <t>Conarium</t>
  </si>
  <si>
    <t>The End Is Nigh</t>
  </si>
  <si>
    <t>FEZ</t>
  </si>
  <si>
    <t>GNOG</t>
  </si>
  <si>
    <t>Alan Wake</t>
  </si>
  <si>
    <t>For Honor - Standard Edition</t>
  </si>
  <si>
    <t>Moonlighter</t>
  </si>
  <si>
    <t>This War of Mine</t>
  </si>
  <si>
    <t>Torchlight</t>
  </si>
  <si>
    <t>Last Day of June</t>
  </si>
  <si>
    <t>RiME</t>
  </si>
  <si>
    <t>Stories Untold</t>
  </si>
  <si>
    <t>World of Goo</t>
  </si>
  <si>
    <t>Transistor</t>
  </si>
  <si>
    <t>The Witness</t>
  </si>
  <si>
    <t>Oxenfree</t>
  </si>
  <si>
    <t>Slime Rancher</t>
  </si>
  <si>
    <t>Thimbleweed Park</t>
  </si>
  <si>
    <t>Axiom Verge</t>
  </si>
  <si>
    <t>The Jackbox Party Pack</t>
  </si>
  <si>
    <t>What Remains of Edith Finch</t>
  </si>
  <si>
    <t>Super Meat Boy</t>
  </si>
  <si>
    <t>Subnautica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</si>
</sst>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&quot;-&quot;mm&quot;-&quot;dd"/>
    <numFmt numFmtId="165" formatCode="yyyy-mm-dd"/>
  </numFmts>
  <fonts count="11">
    <font>
      <sz val="10.0"/>
      <color rgb="FF000000"/>
      <name val="Arial"/>
      <scheme val="minor"/>
    </font>
    <font>
      <b/>
      <sz val="8.0"/>
      <color rgb="FF000000"/>
      <name val="Arial"/>
      <scheme val="minor"/>
    </font>
    <font>
      <b/>
      <color rgb="FF000000"/>
      <name val="Arial"/>
      <scheme val="minor"/>
    </font>
    <font>
      <b/>
      <sz val="8.0"/>
      <color theme="1"/>
      <name val="Arial"/>
      <scheme val="minor"/>
    </font>
    <font>
      <b/>
      <sz val="8.0"/>
      <color rgb="FF0000FF"/>
      <name val="Arial"/>
      <scheme val="minor"/>
    </font>
    <font>
      <b/>
      <sz val="8.0"/>
      <color rgb="FF38761D"/>
      <name val="Arial"/>
      <scheme val="minor"/>
    </font>
    <font>
      <b/>
      <sz val="8.0"/>
      <color theme="1"/>
      <name val="Arial"/>
    </font>
    <font>
      <b/>
      <sz val="8.0"/>
      <color rgb="FF38761D"/>
      <name val="Arial"/>
    </font>
    <font>
      <b/>
      <sz val="9.0"/>
      <color rgb="FFFFFFFF"/>
      <name val="Arial"/>
      <scheme val="minor"/>
    </font>
    <font>
      <b/>
      <sz val="8.0"/>
      <color rgb="FFB45F06"/>
      <name val="Arial"/>
      <scheme val="minor"/>
    </font>
    <font>
      <b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6B26B"/>
        <bgColor rgb="FFF6B26B"/>
      </patternFill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000000"/>
        <bgColor rgb="FF000000"/>
      </patternFill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0" fillId="3" fontId="1" numFmtId="0" xfId="0" applyAlignment="1" applyFill="1" applyFont="1">
      <alignment vertical="center"/>
    </xf>
    <xf borderId="0" fillId="3" fontId="1" numFmtId="0" xfId="0" applyAlignment="1" applyFont="1">
      <alignment horizontal="center" readingOrder="0" vertical="center"/>
    </xf>
    <xf borderId="0" fillId="3" fontId="1" numFmtId="0" xfId="0" applyAlignment="1" applyFont="1">
      <alignment readingOrder="0" vertical="center"/>
    </xf>
    <xf borderId="0" fillId="3" fontId="1" numFmtId="0" xfId="0" applyAlignment="1" applyFont="1">
      <alignment horizontal="left" readingOrder="0" vertical="center"/>
    </xf>
    <xf borderId="0" fillId="4" fontId="1" numFmtId="0" xfId="0" applyAlignment="1" applyFill="1" applyFont="1">
      <alignment vertical="center"/>
    </xf>
    <xf borderId="0" fillId="4" fontId="1" numFmtId="0" xfId="0" applyAlignment="1" applyFont="1">
      <alignment horizontal="center" readingOrder="0" vertical="center"/>
    </xf>
    <xf borderId="0" fillId="4" fontId="1" numFmtId="0" xfId="0" applyAlignment="1" applyFont="1">
      <alignment readingOrder="0" vertical="center"/>
    </xf>
    <xf borderId="0" fillId="2" fontId="1" numFmtId="0" xfId="0" applyAlignment="1" applyFont="1">
      <alignment horizontal="right" readingOrder="0" vertical="center"/>
    </xf>
    <xf borderId="0" fillId="3" fontId="3" numFmtId="0" xfId="0" applyAlignment="1" applyFont="1">
      <alignment readingOrder="0" vertical="center"/>
    </xf>
    <xf borderId="0" fillId="5" fontId="1" numFmtId="0" xfId="0" applyAlignment="1" applyFill="1" applyFont="1">
      <alignment vertical="center"/>
    </xf>
    <xf borderId="0" fillId="5" fontId="1" numFmtId="0" xfId="0" applyAlignment="1" applyFont="1">
      <alignment horizontal="center" readingOrder="0" vertical="center"/>
    </xf>
    <xf borderId="0" fillId="5" fontId="1" numFmtId="0" xfId="0" applyAlignment="1" applyFont="1">
      <alignment readingOrder="0" vertical="center"/>
    </xf>
    <xf borderId="0" fillId="2" fontId="4" numFmtId="164" xfId="0" applyAlignment="1" applyFont="1" applyNumberFormat="1">
      <alignment horizontal="center" readingOrder="0" vertical="center"/>
    </xf>
    <xf borderId="0" fillId="2" fontId="4" numFmtId="0" xfId="0" applyAlignment="1" applyFont="1">
      <alignment horizontal="center" readingOrder="0" vertical="center"/>
    </xf>
    <xf borderId="0" fillId="6" fontId="1" numFmtId="0" xfId="0" applyAlignment="1" applyFill="1" applyFont="1">
      <alignment vertical="center"/>
    </xf>
    <xf borderId="0" fillId="6" fontId="1" numFmtId="0" xfId="0" applyAlignment="1" applyFont="1">
      <alignment horizontal="center" readingOrder="0" vertical="center"/>
    </xf>
    <xf borderId="0" fillId="6" fontId="1" numFmtId="0" xfId="0" applyAlignment="1" applyFont="1">
      <alignment readingOrder="0" vertical="center"/>
    </xf>
    <xf borderId="0" fillId="6" fontId="3" numFmtId="0" xfId="0" applyAlignment="1" applyFont="1">
      <alignment horizontal="right" vertical="center"/>
    </xf>
    <xf borderId="0" fillId="6" fontId="5" numFmtId="0" xfId="0" applyAlignment="1" applyFont="1">
      <alignment horizontal="center" readingOrder="0" vertical="center"/>
    </xf>
    <xf borderId="0" fillId="6" fontId="5" numFmtId="0" xfId="0" applyAlignment="1" applyFont="1">
      <alignment readingOrder="0" vertical="center"/>
    </xf>
    <xf borderId="0" fillId="6" fontId="3" numFmtId="0" xfId="0" applyAlignment="1" applyFont="1">
      <alignment vertical="center"/>
    </xf>
    <xf borderId="0" fillId="3" fontId="6" numFmtId="0" xfId="0" applyAlignment="1" applyFont="1">
      <alignment horizontal="right" vertical="center"/>
    </xf>
    <xf borderId="0" fillId="3" fontId="7" numFmtId="0" xfId="0" applyAlignment="1" applyFont="1">
      <alignment horizontal="center" readingOrder="0" vertical="center"/>
    </xf>
    <xf borderId="0" fillId="3" fontId="7" numFmtId="0" xfId="0" applyAlignment="1" applyFont="1">
      <alignment readingOrder="0" vertical="center"/>
    </xf>
    <xf borderId="0" fillId="3" fontId="6" numFmtId="0" xfId="0" applyAlignment="1" applyFont="1">
      <alignment readingOrder="0" vertical="center"/>
    </xf>
    <xf borderId="0" fillId="7" fontId="8" numFmtId="0" xfId="0" applyAlignment="1" applyFill="1" applyFont="1">
      <alignment horizontal="center" readingOrder="0" vertical="center"/>
    </xf>
    <xf borderId="0" fillId="7" fontId="8" numFmtId="0" xfId="0" applyAlignment="1" applyFont="1">
      <alignment readingOrder="0" vertical="center"/>
    </xf>
    <xf borderId="0" fillId="8" fontId="1" numFmtId="164" xfId="0" applyAlignment="1" applyFill="1" applyFont="1" applyNumberFormat="1">
      <alignment horizontal="center" readingOrder="0" vertical="center"/>
    </xf>
    <xf borderId="0" fillId="8" fontId="1" numFmtId="0" xfId="0" applyAlignment="1" applyFont="1">
      <alignment horizontal="center" vertical="center"/>
    </xf>
    <xf borderId="0" fillId="8" fontId="1" numFmtId="0" xfId="0" applyAlignment="1" applyFont="1">
      <alignment vertical="center"/>
    </xf>
    <xf borderId="0" fillId="8" fontId="1" numFmtId="0" xfId="0" applyAlignment="1" applyFont="1">
      <alignment horizontal="center" readingOrder="0" vertical="center"/>
    </xf>
    <xf borderId="0" fillId="8" fontId="1" numFmtId="0" xfId="0" applyAlignment="1" applyFont="1">
      <alignment readingOrder="0" vertical="center"/>
    </xf>
    <xf borderId="0" fillId="8" fontId="1" numFmtId="165" xfId="0" applyAlignment="1" applyFont="1" applyNumberFormat="1">
      <alignment horizontal="center" readingOrder="0" vertical="center"/>
    </xf>
    <xf borderId="0" fillId="4" fontId="1" numFmtId="164" xfId="0" applyAlignment="1" applyFont="1" applyNumberFormat="1">
      <alignment horizontal="center" readingOrder="0" vertical="center"/>
    </xf>
    <xf borderId="0" fillId="4" fontId="1" numFmtId="0" xfId="0" applyAlignment="1" applyFont="1">
      <alignment horizontal="center" vertical="center"/>
    </xf>
    <xf borderId="0" fillId="6" fontId="3" numFmtId="165" xfId="0" applyAlignment="1" applyFont="1" applyNumberFormat="1">
      <alignment horizontal="center" readingOrder="0" vertical="center"/>
    </xf>
    <xf borderId="0" fillId="6" fontId="3" numFmtId="164" xfId="0" applyAlignment="1" applyFont="1" applyNumberFormat="1">
      <alignment horizontal="center" readingOrder="0" vertical="center"/>
    </xf>
    <xf borderId="0" fillId="6" fontId="3" numFmtId="0" xfId="0" applyAlignment="1" applyFont="1">
      <alignment horizontal="center" vertical="center"/>
    </xf>
    <xf borderId="0" fillId="6" fontId="3" numFmtId="0" xfId="0" applyAlignment="1" applyFont="1">
      <alignment horizontal="right" vertical="center"/>
    </xf>
    <xf borderId="0" fillId="6" fontId="9" numFmtId="0" xfId="0" applyAlignment="1" applyFont="1">
      <alignment readingOrder="0" vertical="center"/>
    </xf>
    <xf borderId="0" fillId="6" fontId="9" numFmtId="0" xfId="0" applyAlignment="1" applyFont="1">
      <alignment vertical="center"/>
    </xf>
    <xf borderId="0" fillId="4" fontId="3" numFmtId="164" xfId="0" applyAlignment="1" applyFont="1" applyNumberFormat="1">
      <alignment horizontal="center" readingOrder="0" vertical="center"/>
    </xf>
    <xf borderId="0" fillId="4" fontId="9" numFmtId="0" xfId="0" applyAlignment="1" applyFont="1">
      <alignment readingOrder="0" vertical="center"/>
    </xf>
    <xf borderId="0" fillId="6" fontId="9" numFmtId="0" xfId="0" applyAlignment="1" applyFont="1">
      <alignment horizontal="center" readingOrder="0" vertical="center"/>
    </xf>
    <xf borderId="0" fillId="8" fontId="5" numFmtId="0" xfId="0" applyAlignment="1" applyFont="1">
      <alignment readingOrder="0" vertical="center"/>
    </xf>
    <xf borderId="0" fillId="4" fontId="1" numFmtId="165" xfId="0" applyAlignment="1" applyFont="1" applyNumberFormat="1">
      <alignment horizontal="center" readingOrder="0" vertical="center"/>
    </xf>
    <xf borderId="0" fillId="5" fontId="1" numFmtId="164" xfId="0" applyAlignment="1" applyFont="1" applyNumberFormat="1">
      <alignment horizontal="center" readingOrder="0" vertical="center"/>
    </xf>
    <xf borderId="0" fillId="5" fontId="1" numFmtId="0" xfId="0" applyAlignment="1" applyFont="1">
      <alignment horizontal="center" vertical="center"/>
    </xf>
    <xf borderId="0" fillId="6" fontId="1" numFmtId="164" xfId="0" applyAlignment="1" applyFont="1" applyNumberFormat="1">
      <alignment horizontal="center" readingOrder="0" vertical="center"/>
    </xf>
    <xf borderId="0" fillId="6" fontId="1" numFmtId="0" xfId="0" applyAlignment="1" applyFont="1">
      <alignment horizontal="center" vertical="center"/>
    </xf>
    <xf borderId="0" fillId="4" fontId="10" numFmtId="164" xfId="0" applyAlignment="1" applyFont="1" applyNumberFormat="1">
      <alignment horizontal="center" vertical="center"/>
    </xf>
    <xf borderId="0" fillId="4" fontId="10" numFmtId="0" xfId="0" applyAlignment="1" applyFont="1">
      <alignment horizontal="center" vertical="center"/>
    </xf>
    <xf borderId="0" fillId="4" fontId="10" numFmtId="0" xfId="0" applyAlignment="1" applyFont="1">
      <alignment vertical="center"/>
    </xf>
    <xf borderId="0" fillId="4" fontId="10" numFmtId="0" xfId="0" applyAlignment="1" applyFont="1">
      <alignment vertical="center"/>
    </xf>
    <xf borderId="0" fillId="5" fontId="1" numFmtId="0" xfId="0" applyAlignment="1" applyFont="1">
      <alignment horizontal="left" readingOrder="0" vertical="center"/>
    </xf>
    <xf borderId="0" fillId="4" fontId="1" numFmtId="0" xfId="0" applyAlignment="1" applyFont="1">
      <alignment horizontal="left" readingOrder="0" vertical="center"/>
    </xf>
    <xf borderId="0" fillId="4" fontId="1" numFmtId="164" xfId="0" applyAlignment="1" applyFont="1" applyNumberFormat="1">
      <alignment horizontal="left" readingOrder="0" vertical="center"/>
    </xf>
    <xf borderId="0" fillId="8" fontId="1" numFmtId="0" xfId="0" applyAlignment="1" applyFont="1">
      <alignment horizontal="left" readingOrder="0" vertical="center"/>
    </xf>
    <xf borderId="0" fillId="4" fontId="3" numFmtId="0" xfId="0" applyAlignment="1" applyFont="1">
      <alignment horizontal="center" vertical="center"/>
    </xf>
    <xf borderId="0" fillId="4" fontId="3" numFmtId="0" xfId="0" applyAlignment="1" applyFont="1">
      <alignment horizontal="right" vertical="center"/>
    </xf>
    <xf borderId="0" fillId="4" fontId="3" numFmtId="0" xfId="0" applyAlignment="1" applyFont="1">
      <alignment horizontal="center" readingOrder="0" vertical="center"/>
    </xf>
    <xf borderId="0" fillId="4" fontId="9" numFmtId="0" xfId="0" applyAlignment="1" applyFont="1">
      <alignment horizontal="left" readingOrder="0" vertical="center"/>
    </xf>
    <xf borderId="0" fillId="4" fontId="3" numFmtId="165" xfId="0" applyAlignment="1" applyFont="1" applyNumberFormat="1">
      <alignment horizontal="center" readingOrder="0" vertical="center"/>
    </xf>
    <xf borderId="0" fillId="5" fontId="1" numFmtId="165" xfId="0" applyAlignment="1" applyFont="1" applyNumberFormat="1">
      <alignment horizontal="center" readingOrder="0" vertical="center"/>
    </xf>
    <xf borderId="0" fillId="4" fontId="1" numFmtId="164" xfId="0" applyAlignment="1" applyFont="1" applyNumberFormat="1">
      <alignment horizontal="center" vertical="center"/>
    </xf>
    <xf borderId="0" fillId="8" fontId="1" numFmtId="164" xfId="0" applyAlignment="1" applyFont="1" applyNumberFormat="1">
      <alignment horizontal="center" vertical="center"/>
    </xf>
    <xf borderId="0" fillId="8" fontId="1" numFmtId="0" xfId="0" applyAlignment="1" applyFont="1">
      <alignment vertical="center"/>
    </xf>
    <xf borderId="0" fillId="4" fontId="1" numFmtId="0" xfId="0" applyAlignment="1" applyFont="1">
      <alignment vertical="center"/>
    </xf>
    <xf borderId="0" fillId="5" fontId="1" numFmtId="0" xfId="0" applyAlignment="1" applyFont="1">
      <alignment horizontal="left" readingOrder="0" shrinkToFit="0" vertical="center" wrapText="0"/>
    </xf>
    <xf borderId="0" fillId="5" fontId="1" numFmtId="0" xfId="0" applyAlignment="1" applyFont="1">
      <alignment vertical="center"/>
    </xf>
  </cellXfs>
  <cellStyles count="1">
    <cellStyle xfId="0" name="Normal" builtinId="0"/>
  </cellStyles>
  <dxfs count="6">
    <dxf>
      <font>
        <color rgb="FF000000"/>
      </font>
      <fill>
        <patternFill patternType="none"/>
      </fill>
      <border/>
    </dxf>
    <dxf>
      <font>
        <color rgb="FF0000FF"/>
      </font>
      <fill>
        <patternFill patternType="none"/>
      </fill>
      <border/>
    </dxf>
    <dxf>
      <font>
        <color rgb="FFFF0000"/>
      </font>
      <fill>
        <patternFill patternType="none"/>
      </fill>
      <border/>
    </dxf>
    <dxf>
      <font>
        <color rgb="FF9900FF"/>
      </font>
      <fill>
        <patternFill patternType="none"/>
      </fill>
      <border/>
    </dxf>
    <dxf>
      <font>
        <color rgb="FFB45F06"/>
      </font>
      <fill>
        <patternFill patternType="none"/>
      </fill>
      <border/>
    </dxf>
    <dxf>
      <font>
        <color rgb="FF38761D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0</xdr:rowOff>
    </xdr:from>
    <xdr:ext cx="1152525" cy="11811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8.13"/>
    <col customWidth="1" min="4" max="5" width="5.13"/>
    <col customWidth="1" min="6" max="7" width="52.63"/>
  </cols>
  <sheetData>
    <row r="1" ht="15.75" customHeight="1">
      <c r="A1" s="1"/>
      <c r="B1" s="1"/>
      <c r="C1" s="2" t="s">
        <v>0</v>
      </c>
      <c r="D1" s="3">
        <f>SUM(D2:D6)</f>
        <v>679</v>
      </c>
      <c r="E1" s="4" t="s">
        <v>1</v>
      </c>
      <c r="F1" s="5" t="s">
        <v>2</v>
      </c>
      <c r="G1" s="6" t="s">
        <v>3</v>
      </c>
    </row>
    <row r="2" ht="15.75" customHeight="1">
      <c r="A2" s="1"/>
      <c r="B2" s="1"/>
      <c r="C2" s="1"/>
      <c r="D2" s="7">
        <f>COUNTBLANK($E$16:E827)</f>
        <v>560</v>
      </c>
      <c r="E2" s="8"/>
      <c r="F2" s="9" t="s">
        <v>4</v>
      </c>
      <c r="G2" s="9"/>
    </row>
    <row r="3" ht="15.75" customHeight="1">
      <c r="A3" s="1"/>
      <c r="B3" s="1"/>
      <c r="C3" s="1"/>
      <c r="D3" s="7">
        <f>COUNTIF($E$16:E827,E3)</f>
        <v>33</v>
      </c>
      <c r="E3" s="8" t="s">
        <v>5</v>
      </c>
      <c r="F3" s="9" t="s">
        <v>6</v>
      </c>
      <c r="G3" s="9"/>
    </row>
    <row r="4" ht="15.75" customHeight="1">
      <c r="A4" s="1"/>
      <c r="B4" s="1"/>
      <c r="C4" s="1"/>
      <c r="D4" s="9"/>
      <c r="E4" s="8" t="s">
        <v>7</v>
      </c>
      <c r="F4" s="9" t="s">
        <v>8</v>
      </c>
      <c r="G4" s="9"/>
    </row>
    <row r="5" ht="15.75" customHeight="1">
      <c r="A5" s="1"/>
      <c r="B5" s="1"/>
      <c r="C5" s="1"/>
      <c r="D5" s="7">
        <f t="shared" ref="D5:D6" si="1">COUNTIF($E$16:E827,E5)</f>
        <v>80</v>
      </c>
      <c r="E5" s="8" t="s">
        <v>9</v>
      </c>
      <c r="F5" s="9" t="s">
        <v>10</v>
      </c>
      <c r="G5" s="9"/>
    </row>
    <row r="6" ht="15.75" customHeight="1">
      <c r="A6" s="1"/>
      <c r="B6" s="1"/>
      <c r="C6" s="1"/>
      <c r="D6" s="7">
        <f t="shared" si="1"/>
        <v>6</v>
      </c>
      <c r="E6" s="8" t="s">
        <v>11</v>
      </c>
      <c r="F6" s="9" t="s">
        <v>12</v>
      </c>
      <c r="G6" s="9"/>
    </row>
    <row r="7" ht="15.75" customHeight="1">
      <c r="A7" s="10"/>
      <c r="B7" s="10"/>
      <c r="C7" s="10"/>
      <c r="D7" s="3">
        <f>SUM(D8:D10)</f>
        <v>49</v>
      </c>
      <c r="E7" s="4" t="s">
        <v>1</v>
      </c>
      <c r="F7" s="11" t="s">
        <v>13</v>
      </c>
      <c r="G7" s="11" t="s">
        <v>14</v>
      </c>
    </row>
    <row r="8" ht="15.75" customHeight="1">
      <c r="A8" s="10"/>
      <c r="B8" s="1" t="s">
        <v>15</v>
      </c>
      <c r="C8" s="1" t="s">
        <v>16</v>
      </c>
      <c r="D8" s="12">
        <f t="shared" ref="D8:D10" si="2">COUNTIF($E$16:E827,E8)</f>
        <v>11</v>
      </c>
      <c r="E8" s="13" t="s">
        <v>17</v>
      </c>
      <c r="F8" s="14" t="s">
        <v>18</v>
      </c>
      <c r="G8" s="14" t="s">
        <v>19</v>
      </c>
    </row>
    <row r="9" ht="15.75" customHeight="1">
      <c r="A9" s="10" t="s">
        <v>20</v>
      </c>
      <c r="B9" s="15">
        <v>43448.0</v>
      </c>
      <c r="C9" s="15">
        <v>45681.0</v>
      </c>
      <c r="D9" s="12">
        <f t="shared" si="2"/>
        <v>36</v>
      </c>
      <c r="E9" s="13" t="s">
        <v>21</v>
      </c>
      <c r="F9" s="14" t="s">
        <v>22</v>
      </c>
      <c r="G9" s="14"/>
    </row>
    <row r="10" ht="15.75" customHeight="1">
      <c r="A10" s="10" t="s">
        <v>23</v>
      </c>
      <c r="B10" s="15">
        <f t="shared" ref="B10:C10" si="3">TODAY()</f>
        <v>46133</v>
      </c>
      <c r="C10" s="15">
        <f t="shared" si="3"/>
        <v>46133</v>
      </c>
      <c r="D10" s="12">
        <f t="shared" si="2"/>
        <v>2</v>
      </c>
      <c r="E10" s="13" t="s">
        <v>24</v>
      </c>
      <c r="F10" s="14" t="s">
        <v>25</v>
      </c>
      <c r="G10" s="14"/>
    </row>
    <row r="11" ht="15.75" customHeight="1">
      <c r="A11" s="10" t="s">
        <v>26</v>
      </c>
      <c r="B11" s="16">
        <f t="shared" ref="B11:C11" si="4">DATEDIF(B9,B10+1,"Y")</f>
        <v>7</v>
      </c>
      <c r="C11" s="16">
        <f t="shared" si="4"/>
        <v>1</v>
      </c>
      <c r="D11" s="3">
        <f>SUM(D12:D14)</f>
        <v>70</v>
      </c>
      <c r="E11" s="4" t="s">
        <v>1</v>
      </c>
      <c r="F11" s="11" t="s">
        <v>27</v>
      </c>
      <c r="G11" s="11" t="s">
        <v>28</v>
      </c>
    </row>
    <row r="12" ht="15.75" customHeight="1">
      <c r="A12" s="10" t="s">
        <v>29</v>
      </c>
      <c r="B12" s="16">
        <f t="shared" ref="B12:C12" si="5">DATEDIF(B9,B10+1,"YM")</f>
        <v>4</v>
      </c>
      <c r="C12" s="16">
        <f t="shared" si="5"/>
        <v>2</v>
      </c>
      <c r="D12" s="17">
        <f t="shared" ref="D12:D15" si="7">COUNTIF($E$16:E827,E12)</f>
        <v>62</v>
      </c>
      <c r="E12" s="18" t="s">
        <v>30</v>
      </c>
      <c r="F12" s="19" t="s">
        <v>31</v>
      </c>
      <c r="G12" s="19"/>
    </row>
    <row r="13" ht="15.75" customHeight="1">
      <c r="A13" s="10" t="s">
        <v>32</v>
      </c>
      <c r="B13" s="16">
        <f t="shared" ref="B13:C13" si="6">DATEDIF(B9,B10+1,"MD")</f>
        <v>8</v>
      </c>
      <c r="C13" s="16">
        <f t="shared" si="6"/>
        <v>29</v>
      </c>
      <c r="D13" s="17">
        <f t="shared" si="7"/>
        <v>5</v>
      </c>
      <c r="E13" s="18" t="s">
        <v>33</v>
      </c>
      <c r="F13" s="19" t="s">
        <v>34</v>
      </c>
      <c r="G13" s="19"/>
    </row>
    <row r="14" ht="15.75" customHeight="1">
      <c r="A14" s="10" t="s">
        <v>35</v>
      </c>
      <c r="B14" s="16">
        <f t="shared" ref="B14:C14" si="8">DAYS(B10+1,B9)</f>
        <v>2686</v>
      </c>
      <c r="C14" s="16">
        <f t="shared" si="8"/>
        <v>453</v>
      </c>
      <c r="D14" s="20">
        <f t="shared" si="7"/>
        <v>3</v>
      </c>
      <c r="E14" s="21" t="s">
        <v>36</v>
      </c>
      <c r="F14" s="22" t="s">
        <v>37</v>
      </c>
      <c r="G14" s="23"/>
    </row>
    <row r="15" ht="15.75" customHeight="1">
      <c r="A15" s="10"/>
      <c r="B15" s="10"/>
      <c r="C15" s="10"/>
      <c r="D15" s="24">
        <f t="shared" si="7"/>
        <v>2</v>
      </c>
      <c r="E15" s="25" t="s">
        <v>38</v>
      </c>
      <c r="F15" s="26" t="s">
        <v>39</v>
      </c>
      <c r="G15" s="27" t="s">
        <v>40</v>
      </c>
    </row>
    <row r="16" ht="15.75" customHeight="1">
      <c r="A16" s="28" t="s">
        <v>41</v>
      </c>
      <c r="B16" s="28" t="s">
        <v>42</v>
      </c>
      <c r="C16" s="28" t="s">
        <v>43</v>
      </c>
      <c r="D16" s="28" t="s">
        <v>44</v>
      </c>
      <c r="E16" s="28" t="s">
        <v>45</v>
      </c>
      <c r="F16" s="29" t="s">
        <v>46</v>
      </c>
      <c r="G16" s="29" t="s">
        <v>47</v>
      </c>
    </row>
    <row r="17" ht="15.75" customHeight="1">
      <c r="A17" s="30">
        <v>46177.0</v>
      </c>
      <c r="B17" s="30">
        <v>46184.0</v>
      </c>
      <c r="C17" s="31" t="str">
        <f t="shared" ref="C17:C35" si="9">IF(ISBLANK(A17),,INDEX({"Monday";"Tuesday";"Wednesday";"Thursday";"Friday";"Saturday";"Sunday"},WEEKDAY(A17,2)))</f>
        <v>Thursday</v>
      </c>
      <c r="D17" s="32">
        <f t="shared" ref="D17:D35" si="10">IF(OR(ISBLANK(A17),ISBLANK(B17)),,DAYS(B17,A17))</f>
        <v>7</v>
      </c>
      <c r="E17" s="33" t="s">
        <v>48</v>
      </c>
      <c r="F17" s="34"/>
      <c r="G17" s="34"/>
    </row>
    <row r="18" ht="15.75" customHeight="1">
      <c r="A18" s="30">
        <v>46170.0</v>
      </c>
      <c r="B18" s="35">
        <v>46177.0</v>
      </c>
      <c r="C18" s="31" t="str">
        <f t="shared" si="9"/>
        <v>Thursday</v>
      </c>
      <c r="D18" s="32">
        <f t="shared" si="10"/>
        <v>7</v>
      </c>
      <c r="E18" s="33" t="s">
        <v>48</v>
      </c>
      <c r="F18" s="34"/>
      <c r="G18" s="34"/>
    </row>
    <row r="19" ht="15.75" customHeight="1">
      <c r="A19" s="30">
        <v>46163.0</v>
      </c>
      <c r="B19" s="35">
        <v>46170.0</v>
      </c>
      <c r="C19" s="31" t="str">
        <f t="shared" si="9"/>
        <v>Thursday</v>
      </c>
      <c r="D19" s="32">
        <f t="shared" si="10"/>
        <v>7</v>
      </c>
      <c r="E19" s="33" t="s">
        <v>48</v>
      </c>
      <c r="F19" s="34"/>
      <c r="G19" s="34"/>
    </row>
    <row r="20" ht="15.75" customHeight="1">
      <c r="A20" s="30">
        <v>46156.0</v>
      </c>
      <c r="B20" s="35">
        <v>46163.0</v>
      </c>
      <c r="C20" s="31" t="str">
        <f t="shared" si="9"/>
        <v>Thursday</v>
      </c>
      <c r="D20" s="32">
        <f t="shared" si="10"/>
        <v>7</v>
      </c>
      <c r="E20" s="33" t="s">
        <v>48</v>
      </c>
      <c r="F20" s="34"/>
      <c r="G20" s="34"/>
    </row>
    <row r="21" ht="15.75" customHeight="1">
      <c r="A21" s="36">
        <v>46149.0</v>
      </c>
      <c r="B21" s="36">
        <v>46156.0</v>
      </c>
      <c r="C21" s="37" t="str">
        <f t="shared" si="9"/>
        <v>Thursday</v>
      </c>
      <c r="D21" s="7">
        <f t="shared" si="10"/>
        <v>7</v>
      </c>
      <c r="E21" s="8" t="s">
        <v>48</v>
      </c>
      <c r="F21" s="9"/>
      <c r="G21" s="9"/>
    </row>
    <row r="22" ht="15.75" customHeight="1">
      <c r="A22" s="36">
        <v>46142.0</v>
      </c>
      <c r="B22" s="36">
        <v>46149.0</v>
      </c>
      <c r="C22" s="37" t="str">
        <f t="shared" si="9"/>
        <v>Thursday</v>
      </c>
      <c r="D22" s="7">
        <f t="shared" si="10"/>
        <v>7</v>
      </c>
      <c r="E22" s="8" t="s">
        <v>48</v>
      </c>
      <c r="F22" s="9"/>
      <c r="G22" s="9"/>
    </row>
    <row r="23" ht="15.75" customHeight="1">
      <c r="A23" s="38">
        <v>46135.0</v>
      </c>
      <c r="B23" s="39">
        <v>46142.0</v>
      </c>
      <c r="C23" s="40" t="str">
        <f t="shared" si="9"/>
        <v>Thursday</v>
      </c>
      <c r="D23" s="41">
        <f t="shared" si="10"/>
        <v>7</v>
      </c>
      <c r="E23" s="18" t="s">
        <v>38</v>
      </c>
      <c r="F23" s="42" t="s">
        <v>7</v>
      </c>
      <c r="G23" s="43"/>
    </row>
    <row r="24" ht="15.75" customHeight="1">
      <c r="A24" s="36"/>
      <c r="B24" s="36"/>
      <c r="C24" s="37" t="str">
        <f t="shared" si="9"/>
        <v/>
      </c>
      <c r="D24" s="7" t="str">
        <f t="shared" si="10"/>
        <v/>
      </c>
      <c r="E24" s="8" t="s">
        <v>38</v>
      </c>
      <c r="F24" s="9" t="s">
        <v>49</v>
      </c>
      <c r="G24" s="9"/>
    </row>
    <row r="25" ht="15.75" customHeight="1">
      <c r="A25" s="38">
        <v>46128.0</v>
      </c>
      <c r="B25" s="39">
        <v>46135.0</v>
      </c>
      <c r="C25" s="40" t="str">
        <f t="shared" si="9"/>
        <v>Thursday</v>
      </c>
      <c r="D25" s="41">
        <f t="shared" si="10"/>
        <v>7</v>
      </c>
      <c r="E25" s="18" t="s">
        <v>30</v>
      </c>
      <c r="F25" s="42" t="s">
        <v>50</v>
      </c>
      <c r="G25" s="43"/>
    </row>
    <row r="26" ht="15.75" customHeight="1">
      <c r="A26" s="36"/>
      <c r="B26" s="36"/>
      <c r="C26" s="37" t="str">
        <f t="shared" si="9"/>
        <v/>
      </c>
      <c r="D26" s="7" t="str">
        <f t="shared" si="10"/>
        <v/>
      </c>
      <c r="E26" s="8"/>
      <c r="F26" s="9" t="s">
        <v>51</v>
      </c>
      <c r="G26" s="9"/>
    </row>
    <row r="27" ht="15.75" customHeight="1">
      <c r="A27" s="38">
        <v>46121.0</v>
      </c>
      <c r="B27" s="39">
        <v>46128.0</v>
      </c>
      <c r="C27" s="40" t="str">
        <f t="shared" si="9"/>
        <v>Thursday</v>
      </c>
      <c r="D27" s="41">
        <f t="shared" si="10"/>
        <v>7</v>
      </c>
      <c r="E27" s="18" t="s">
        <v>30</v>
      </c>
      <c r="F27" s="42" t="s">
        <v>52</v>
      </c>
      <c r="G27" s="43"/>
    </row>
    <row r="28" ht="15.75" customHeight="1">
      <c r="A28" s="36"/>
      <c r="B28" s="36"/>
      <c r="C28" s="37" t="str">
        <f t="shared" si="9"/>
        <v/>
      </c>
      <c r="D28" s="7" t="str">
        <f t="shared" si="10"/>
        <v/>
      </c>
      <c r="E28" s="8"/>
      <c r="F28" s="9" t="s">
        <v>53</v>
      </c>
      <c r="G28" s="9"/>
    </row>
    <row r="29" ht="15.75" customHeight="1">
      <c r="A29" s="38">
        <v>46114.0</v>
      </c>
      <c r="B29" s="39">
        <v>46121.0</v>
      </c>
      <c r="C29" s="40" t="str">
        <f t="shared" si="9"/>
        <v>Thursday</v>
      </c>
      <c r="D29" s="41">
        <f t="shared" si="10"/>
        <v>7</v>
      </c>
      <c r="E29" s="18" t="s">
        <v>30</v>
      </c>
      <c r="F29" s="42" t="s">
        <v>54</v>
      </c>
      <c r="G29" s="43"/>
    </row>
    <row r="30" ht="15.75" customHeight="1">
      <c r="A30" s="36"/>
      <c r="B30" s="36"/>
      <c r="C30" s="37" t="str">
        <f t="shared" si="9"/>
        <v/>
      </c>
      <c r="D30" s="7" t="str">
        <f t="shared" si="10"/>
        <v/>
      </c>
      <c r="E30" s="8"/>
      <c r="F30" s="9" t="s">
        <v>55</v>
      </c>
      <c r="G30" s="9"/>
    </row>
    <row r="31" ht="15.75" customHeight="1">
      <c r="A31" s="44">
        <v>46114.0</v>
      </c>
      <c r="B31" s="44">
        <v>46128.0</v>
      </c>
      <c r="C31" s="37" t="str">
        <f t="shared" si="9"/>
        <v>Thursday</v>
      </c>
      <c r="D31" s="7">
        <f t="shared" si="10"/>
        <v>14</v>
      </c>
      <c r="E31" s="8" t="s">
        <v>17</v>
      </c>
      <c r="F31" s="45" t="s">
        <v>56</v>
      </c>
      <c r="G31" s="45" t="s">
        <v>57</v>
      </c>
    </row>
    <row r="32" ht="15.75" customHeight="1">
      <c r="A32" s="39">
        <v>46107.0</v>
      </c>
      <c r="B32" s="39">
        <v>46114.0</v>
      </c>
      <c r="C32" s="40" t="str">
        <f t="shared" si="9"/>
        <v>Thursday</v>
      </c>
      <c r="D32" s="41">
        <f t="shared" si="10"/>
        <v>7</v>
      </c>
      <c r="E32" s="18" t="s">
        <v>30</v>
      </c>
      <c r="F32" s="42" t="s">
        <v>58</v>
      </c>
      <c r="G32" s="43"/>
    </row>
    <row r="33" ht="15.75" customHeight="1">
      <c r="A33" s="36"/>
      <c r="B33" s="36"/>
      <c r="C33" s="37" t="str">
        <f t="shared" si="9"/>
        <v/>
      </c>
      <c r="D33" s="7" t="str">
        <f t="shared" si="10"/>
        <v/>
      </c>
      <c r="E33" s="8"/>
      <c r="F33" s="9" t="s">
        <v>59</v>
      </c>
      <c r="G33" s="9"/>
    </row>
    <row r="34" ht="15.75" customHeight="1">
      <c r="A34" s="36"/>
      <c r="B34" s="36"/>
      <c r="C34" s="37" t="str">
        <f t="shared" si="9"/>
        <v/>
      </c>
      <c r="D34" s="7" t="str">
        <f t="shared" si="10"/>
        <v/>
      </c>
      <c r="E34" s="8"/>
      <c r="F34" s="9" t="s">
        <v>60</v>
      </c>
      <c r="G34" s="9"/>
    </row>
    <row r="35" ht="15.75" customHeight="1">
      <c r="A35" s="39">
        <v>46100.0</v>
      </c>
      <c r="B35" s="39">
        <v>46107.0</v>
      </c>
      <c r="C35" s="40" t="str">
        <f t="shared" si="9"/>
        <v>Thursday</v>
      </c>
      <c r="D35" s="41">
        <f t="shared" si="10"/>
        <v>7</v>
      </c>
      <c r="E35" s="18" t="s">
        <v>30</v>
      </c>
      <c r="F35" s="42" t="s">
        <v>61</v>
      </c>
      <c r="G35" s="43"/>
    </row>
    <row r="36" ht="15.75" customHeight="1">
      <c r="A36" s="36"/>
      <c r="B36" s="36"/>
      <c r="C36" s="37"/>
      <c r="D36" s="7"/>
      <c r="E36" s="8"/>
      <c r="F36" s="9" t="s">
        <v>62</v>
      </c>
      <c r="G36" s="9"/>
    </row>
    <row r="37" ht="15.75" customHeight="1">
      <c r="A37" s="36"/>
      <c r="B37" s="36"/>
      <c r="C37" s="37" t="str">
        <f t="shared" ref="C37:C70" si="11">IF(ISBLANK(A37),,INDEX({"Monday";"Tuesday";"Wednesday";"Thursday";"Friday";"Saturday";"Sunday"},WEEKDAY(A37,2)))</f>
        <v/>
      </c>
      <c r="D37" s="7" t="str">
        <f t="shared" ref="D37:D70" si="12">IF(OR(ISBLANK(A37),ISBLANK(B37)),,DAYS(B37,A37))</f>
        <v/>
      </c>
      <c r="E37" s="8" t="s">
        <v>5</v>
      </c>
      <c r="F37" s="9" t="s">
        <v>63</v>
      </c>
      <c r="G37" s="9"/>
    </row>
    <row r="38" ht="15.75" customHeight="1">
      <c r="A38" s="39">
        <v>46093.0</v>
      </c>
      <c r="B38" s="39">
        <v>46100.0</v>
      </c>
      <c r="C38" s="40" t="str">
        <f t="shared" si="11"/>
        <v>Thursday</v>
      </c>
      <c r="D38" s="41">
        <f t="shared" si="12"/>
        <v>7</v>
      </c>
      <c r="E38" s="18" t="s">
        <v>30</v>
      </c>
      <c r="F38" s="42" t="s">
        <v>64</v>
      </c>
      <c r="G38" s="43"/>
    </row>
    <row r="39" ht="15.75" customHeight="1">
      <c r="A39" s="36"/>
      <c r="B39" s="36"/>
      <c r="C39" s="37" t="str">
        <f t="shared" si="11"/>
        <v/>
      </c>
      <c r="D39" s="7" t="str">
        <f t="shared" si="12"/>
        <v/>
      </c>
      <c r="E39" s="8"/>
      <c r="F39" s="9" t="s">
        <v>65</v>
      </c>
      <c r="G39" s="9"/>
    </row>
    <row r="40" ht="15.75" customHeight="1">
      <c r="A40" s="36"/>
      <c r="B40" s="36"/>
      <c r="C40" s="37" t="str">
        <f t="shared" si="11"/>
        <v/>
      </c>
      <c r="D40" s="7" t="str">
        <f t="shared" si="12"/>
        <v/>
      </c>
      <c r="E40" s="8"/>
      <c r="F40" s="9" t="s">
        <v>66</v>
      </c>
      <c r="G40" s="9"/>
    </row>
    <row r="41" ht="15.75" customHeight="1">
      <c r="A41" s="39">
        <v>46086.0</v>
      </c>
      <c r="B41" s="39">
        <v>46093.0</v>
      </c>
      <c r="C41" s="40" t="str">
        <f t="shared" si="11"/>
        <v>Thursday</v>
      </c>
      <c r="D41" s="41">
        <f t="shared" si="12"/>
        <v>7</v>
      </c>
      <c r="E41" s="18" t="s">
        <v>30</v>
      </c>
      <c r="F41" s="42" t="s">
        <v>67</v>
      </c>
      <c r="G41" s="43"/>
    </row>
    <row r="42" ht="15.75" customHeight="1">
      <c r="A42" s="39"/>
      <c r="B42" s="39"/>
      <c r="C42" s="40" t="str">
        <f t="shared" si="11"/>
        <v/>
      </c>
      <c r="D42" s="41" t="str">
        <f t="shared" si="12"/>
        <v/>
      </c>
      <c r="E42" s="18" t="s">
        <v>33</v>
      </c>
      <c r="F42" s="19" t="s">
        <v>68</v>
      </c>
      <c r="G42" s="19" t="s">
        <v>69</v>
      </c>
    </row>
    <row r="43" ht="15.75" customHeight="1">
      <c r="A43" s="36"/>
      <c r="B43" s="36"/>
      <c r="C43" s="37" t="str">
        <f t="shared" si="11"/>
        <v/>
      </c>
      <c r="D43" s="7" t="str">
        <f t="shared" si="12"/>
        <v/>
      </c>
      <c r="E43" s="8" t="s">
        <v>21</v>
      </c>
      <c r="F43" s="9" t="s">
        <v>70</v>
      </c>
      <c r="G43" s="9" t="s">
        <v>69</v>
      </c>
    </row>
    <row r="44" ht="15.75" customHeight="1">
      <c r="A44" s="36"/>
      <c r="B44" s="36"/>
      <c r="C44" s="37" t="str">
        <f t="shared" si="11"/>
        <v/>
      </c>
      <c r="D44" s="7" t="str">
        <f t="shared" si="12"/>
        <v/>
      </c>
      <c r="E44" s="8"/>
      <c r="F44" s="9" t="s">
        <v>71</v>
      </c>
      <c r="G44" s="9"/>
    </row>
    <row r="45" ht="15.75" customHeight="1">
      <c r="A45" s="39">
        <v>46079.0</v>
      </c>
      <c r="B45" s="39">
        <v>46086.0</v>
      </c>
      <c r="C45" s="40" t="str">
        <f t="shared" si="11"/>
        <v>Thursday</v>
      </c>
      <c r="D45" s="41">
        <f t="shared" si="12"/>
        <v>7</v>
      </c>
      <c r="E45" s="18" t="s">
        <v>30</v>
      </c>
      <c r="F45" s="42" t="s">
        <v>72</v>
      </c>
      <c r="G45" s="43"/>
    </row>
    <row r="46" ht="15.75" customHeight="1">
      <c r="A46" s="36"/>
      <c r="B46" s="36"/>
      <c r="C46" s="37" t="str">
        <f t="shared" si="11"/>
        <v/>
      </c>
      <c r="D46" s="7" t="str">
        <f t="shared" si="12"/>
        <v/>
      </c>
      <c r="E46" s="8"/>
      <c r="F46" s="9" t="s">
        <v>72</v>
      </c>
      <c r="G46" s="9"/>
    </row>
    <row r="47" ht="15.75" customHeight="1">
      <c r="A47" s="36"/>
      <c r="B47" s="36"/>
      <c r="C47" s="37" t="str">
        <f t="shared" si="11"/>
        <v/>
      </c>
      <c r="D47" s="7" t="str">
        <f t="shared" si="12"/>
        <v/>
      </c>
      <c r="E47" s="8"/>
      <c r="F47" s="9" t="s">
        <v>73</v>
      </c>
      <c r="G47" s="9"/>
    </row>
    <row r="48" ht="15.75" customHeight="1">
      <c r="A48" s="39">
        <v>46072.0</v>
      </c>
      <c r="B48" s="39">
        <v>46079.0</v>
      </c>
      <c r="C48" s="40" t="str">
        <f t="shared" si="11"/>
        <v>Thursday</v>
      </c>
      <c r="D48" s="41">
        <f t="shared" si="12"/>
        <v>7</v>
      </c>
      <c r="E48" s="18" t="s">
        <v>30</v>
      </c>
      <c r="F48" s="42" t="s">
        <v>74</v>
      </c>
      <c r="G48" s="43"/>
    </row>
    <row r="49" ht="15.75" customHeight="1">
      <c r="A49" s="36"/>
      <c r="B49" s="36"/>
      <c r="C49" s="37" t="str">
        <f t="shared" si="11"/>
        <v/>
      </c>
      <c r="D49" s="7" t="str">
        <f t="shared" si="12"/>
        <v/>
      </c>
      <c r="E49" s="8"/>
      <c r="F49" s="9" t="s">
        <v>75</v>
      </c>
      <c r="G49" s="9"/>
    </row>
    <row r="50" ht="15.75" customHeight="1">
      <c r="A50" s="36"/>
      <c r="B50" s="36"/>
      <c r="C50" s="37" t="str">
        <f t="shared" si="11"/>
        <v/>
      </c>
      <c r="D50" s="7" t="str">
        <f t="shared" si="12"/>
        <v/>
      </c>
      <c r="E50" s="8"/>
      <c r="F50" s="9" t="s">
        <v>76</v>
      </c>
      <c r="G50" s="9"/>
    </row>
    <row r="51" ht="15.75" customHeight="1">
      <c r="A51" s="39">
        <v>46065.0</v>
      </c>
      <c r="B51" s="39">
        <v>46072.0</v>
      </c>
      <c r="C51" s="40" t="str">
        <f t="shared" si="11"/>
        <v>Thursday</v>
      </c>
      <c r="D51" s="41">
        <f t="shared" si="12"/>
        <v>7</v>
      </c>
      <c r="E51" s="18" t="s">
        <v>30</v>
      </c>
      <c r="F51" s="42" t="s">
        <v>77</v>
      </c>
      <c r="G51" s="43"/>
    </row>
    <row r="52" ht="15.75" customHeight="1">
      <c r="A52" s="36"/>
      <c r="B52" s="36"/>
      <c r="C52" s="37" t="str">
        <f t="shared" si="11"/>
        <v/>
      </c>
      <c r="D52" s="7" t="str">
        <f t="shared" si="12"/>
        <v/>
      </c>
      <c r="E52" s="8"/>
      <c r="F52" s="9" t="s">
        <v>78</v>
      </c>
      <c r="G52" s="9"/>
    </row>
    <row r="53" ht="15.75" customHeight="1">
      <c r="A53" s="36"/>
      <c r="B53" s="36"/>
      <c r="C53" s="37" t="str">
        <f t="shared" si="11"/>
        <v/>
      </c>
      <c r="D53" s="7" t="str">
        <f t="shared" si="12"/>
        <v/>
      </c>
      <c r="E53" s="8"/>
      <c r="F53" s="9" t="s">
        <v>77</v>
      </c>
      <c r="G53" s="9"/>
    </row>
    <row r="54" ht="15.75" customHeight="1">
      <c r="A54" s="39">
        <v>46058.0</v>
      </c>
      <c r="B54" s="39">
        <v>46065.0</v>
      </c>
      <c r="C54" s="40" t="str">
        <f t="shared" si="11"/>
        <v>Thursday</v>
      </c>
      <c r="D54" s="41">
        <f t="shared" si="12"/>
        <v>7</v>
      </c>
      <c r="E54" s="18" t="s">
        <v>30</v>
      </c>
      <c r="F54" s="42" t="s">
        <v>79</v>
      </c>
      <c r="G54" s="43"/>
    </row>
    <row r="55" ht="15.75" customHeight="1">
      <c r="A55" s="36"/>
      <c r="B55" s="36"/>
      <c r="C55" s="37" t="str">
        <f t="shared" si="11"/>
        <v/>
      </c>
      <c r="D55" s="7" t="str">
        <f t="shared" si="12"/>
        <v/>
      </c>
      <c r="E55" s="8"/>
      <c r="F55" s="9" t="s">
        <v>79</v>
      </c>
      <c r="G55" s="9"/>
    </row>
    <row r="56" ht="15.75" customHeight="1">
      <c r="A56" s="36"/>
      <c r="B56" s="36"/>
      <c r="C56" s="37" t="str">
        <f t="shared" si="11"/>
        <v/>
      </c>
      <c r="D56" s="7" t="str">
        <f t="shared" si="12"/>
        <v/>
      </c>
      <c r="E56" s="8"/>
      <c r="F56" s="9" t="s">
        <v>80</v>
      </c>
      <c r="G56" s="9" t="s">
        <v>81</v>
      </c>
    </row>
    <row r="57" ht="15.75" customHeight="1">
      <c r="A57" s="39">
        <v>46051.0</v>
      </c>
      <c r="B57" s="39">
        <v>46058.0</v>
      </c>
      <c r="C57" s="40" t="str">
        <f t="shared" si="11"/>
        <v>Thursday</v>
      </c>
      <c r="D57" s="41">
        <f t="shared" si="12"/>
        <v>7</v>
      </c>
      <c r="E57" s="18" t="s">
        <v>30</v>
      </c>
      <c r="F57" s="42" t="s">
        <v>82</v>
      </c>
      <c r="G57" s="43"/>
    </row>
    <row r="58" ht="15.75" customHeight="1">
      <c r="A58" s="36"/>
      <c r="B58" s="36"/>
      <c r="C58" s="37" t="str">
        <f t="shared" si="11"/>
        <v/>
      </c>
      <c r="D58" s="7" t="str">
        <f t="shared" si="12"/>
        <v/>
      </c>
      <c r="E58" s="8"/>
      <c r="F58" s="9" t="s">
        <v>83</v>
      </c>
      <c r="G58" s="9"/>
    </row>
    <row r="59" ht="15.75" customHeight="1">
      <c r="A59" s="39">
        <v>46044.0</v>
      </c>
      <c r="B59" s="39">
        <v>46051.0</v>
      </c>
      <c r="C59" s="40" t="str">
        <f t="shared" si="11"/>
        <v>Thursday</v>
      </c>
      <c r="D59" s="41">
        <f t="shared" si="12"/>
        <v>7</v>
      </c>
      <c r="E59" s="18" t="s">
        <v>30</v>
      </c>
      <c r="F59" s="42" t="s">
        <v>84</v>
      </c>
      <c r="G59" s="43"/>
    </row>
    <row r="60" ht="15.75" customHeight="1">
      <c r="A60" s="36"/>
      <c r="B60" s="36"/>
      <c r="C60" s="37" t="str">
        <f t="shared" si="11"/>
        <v/>
      </c>
      <c r="D60" s="7" t="str">
        <f t="shared" si="12"/>
        <v/>
      </c>
      <c r="E60" s="8"/>
      <c r="F60" s="9" t="s">
        <v>85</v>
      </c>
      <c r="G60" s="9"/>
    </row>
    <row r="61" ht="15.75" customHeight="1">
      <c r="A61" s="39">
        <v>46037.0</v>
      </c>
      <c r="B61" s="39">
        <v>46044.0</v>
      </c>
      <c r="C61" s="40" t="str">
        <f t="shared" si="11"/>
        <v>Thursday</v>
      </c>
      <c r="D61" s="41">
        <f t="shared" si="12"/>
        <v>7</v>
      </c>
      <c r="E61" s="18" t="s">
        <v>30</v>
      </c>
      <c r="F61" s="42" t="s">
        <v>86</v>
      </c>
      <c r="G61" s="43"/>
    </row>
    <row r="62" ht="15.75" customHeight="1">
      <c r="A62" s="36"/>
      <c r="B62" s="36"/>
      <c r="C62" s="37" t="str">
        <f t="shared" si="11"/>
        <v/>
      </c>
      <c r="D62" s="7" t="str">
        <f t="shared" si="12"/>
        <v/>
      </c>
      <c r="E62" s="8"/>
      <c r="F62" s="9" t="s">
        <v>87</v>
      </c>
      <c r="G62" s="9"/>
    </row>
    <row r="63" ht="15.75" customHeight="1">
      <c r="A63" s="36"/>
      <c r="B63" s="36"/>
      <c r="C63" s="37" t="str">
        <f t="shared" si="11"/>
        <v/>
      </c>
      <c r="D63" s="7" t="str">
        <f t="shared" si="12"/>
        <v/>
      </c>
      <c r="E63" s="8"/>
      <c r="F63" s="9" t="s">
        <v>88</v>
      </c>
      <c r="G63" s="9"/>
    </row>
    <row r="64" ht="15.75" customHeight="1">
      <c r="A64" s="39">
        <v>46030.0</v>
      </c>
      <c r="B64" s="39">
        <v>46037.0</v>
      </c>
      <c r="C64" s="40" t="str">
        <f t="shared" si="11"/>
        <v>Thursday</v>
      </c>
      <c r="D64" s="41">
        <f t="shared" si="12"/>
        <v>7</v>
      </c>
      <c r="E64" s="18" t="s">
        <v>30</v>
      </c>
      <c r="F64" s="42" t="s">
        <v>89</v>
      </c>
      <c r="G64" s="43"/>
    </row>
    <row r="65" ht="15.75" customHeight="1">
      <c r="A65" s="36"/>
      <c r="B65" s="36"/>
      <c r="C65" s="37" t="str">
        <f t="shared" si="11"/>
        <v/>
      </c>
      <c r="D65" s="7" t="str">
        <f t="shared" si="12"/>
        <v/>
      </c>
      <c r="E65" s="8" t="s">
        <v>9</v>
      </c>
      <c r="F65" s="9" t="s">
        <v>90</v>
      </c>
      <c r="G65" s="9"/>
    </row>
    <row r="66" ht="15.75" customHeight="1">
      <c r="A66" s="39">
        <v>46023.0</v>
      </c>
      <c r="B66" s="39">
        <v>46030.0</v>
      </c>
      <c r="C66" s="40" t="str">
        <f t="shared" si="11"/>
        <v>Thursday</v>
      </c>
      <c r="D66" s="41">
        <f t="shared" si="12"/>
        <v>7</v>
      </c>
      <c r="E66" s="18" t="s">
        <v>30</v>
      </c>
      <c r="F66" s="42" t="s">
        <v>91</v>
      </c>
      <c r="G66" s="43"/>
    </row>
    <row r="67" ht="15.75" customHeight="1">
      <c r="A67" s="30"/>
      <c r="B67" s="30"/>
      <c r="C67" s="31" t="str">
        <f t="shared" si="11"/>
        <v/>
      </c>
      <c r="D67" s="32" t="str">
        <f t="shared" si="12"/>
        <v/>
      </c>
      <c r="E67" s="33"/>
      <c r="F67" s="34" t="s">
        <v>92</v>
      </c>
      <c r="G67" s="34"/>
    </row>
    <row r="68" ht="15.75" customHeight="1">
      <c r="A68" s="30"/>
      <c r="B68" s="30"/>
      <c r="C68" s="31" t="str">
        <f t="shared" si="11"/>
        <v/>
      </c>
      <c r="D68" s="32" t="str">
        <f t="shared" si="12"/>
        <v/>
      </c>
      <c r="E68" s="33"/>
      <c r="F68" s="34" t="s">
        <v>93</v>
      </c>
      <c r="G68" s="34"/>
    </row>
    <row r="69" ht="15.75" customHeight="1">
      <c r="A69" s="30">
        <v>46022.0</v>
      </c>
      <c r="B69" s="30">
        <v>46023.0</v>
      </c>
      <c r="C69" s="31" t="str">
        <f t="shared" si="11"/>
        <v>Wednesday</v>
      </c>
      <c r="D69" s="32">
        <f t="shared" si="12"/>
        <v>1</v>
      </c>
      <c r="E69" s="33" t="s">
        <v>9</v>
      </c>
      <c r="F69" s="34" t="s">
        <v>94</v>
      </c>
      <c r="G69" s="34"/>
    </row>
    <row r="70" ht="15.75" customHeight="1">
      <c r="A70" s="30">
        <v>46021.0</v>
      </c>
      <c r="B70" s="30">
        <v>46022.0</v>
      </c>
      <c r="C70" s="31" t="str">
        <f t="shared" si="11"/>
        <v>Tuesday</v>
      </c>
      <c r="D70" s="32">
        <f t="shared" si="12"/>
        <v>1</v>
      </c>
      <c r="E70" s="33"/>
      <c r="F70" s="34" t="s">
        <v>95</v>
      </c>
      <c r="G70" s="34" t="s">
        <v>96</v>
      </c>
    </row>
    <row r="71" ht="15.75" customHeight="1">
      <c r="A71" s="30"/>
      <c r="B71" s="30"/>
      <c r="C71" s="31"/>
      <c r="D71" s="32"/>
      <c r="E71" s="33"/>
      <c r="F71" s="34"/>
      <c r="G71" s="34" t="s">
        <v>97</v>
      </c>
    </row>
    <row r="72" ht="15.75" customHeight="1">
      <c r="A72" s="30"/>
      <c r="B72" s="30"/>
      <c r="C72" s="31"/>
      <c r="D72" s="32"/>
      <c r="E72" s="33"/>
      <c r="F72" s="34"/>
      <c r="G72" s="34" t="s">
        <v>98</v>
      </c>
    </row>
    <row r="73" ht="15.75" customHeight="1">
      <c r="A73" s="30"/>
      <c r="B73" s="30"/>
      <c r="C73" s="31"/>
      <c r="D73" s="32"/>
      <c r="E73" s="33"/>
      <c r="F73" s="34"/>
      <c r="G73" s="34" t="s">
        <v>99</v>
      </c>
    </row>
    <row r="74" ht="15.75" customHeight="1">
      <c r="A74" s="30">
        <v>46020.0</v>
      </c>
      <c r="B74" s="30">
        <v>46021.0</v>
      </c>
      <c r="C74" s="31" t="str">
        <f t="shared" ref="C74:C115" si="13">IF(ISBLANK(A74),,INDEX({"Monday";"Tuesday";"Wednesday";"Thursday";"Friday";"Saturday";"Sunday"},WEEKDAY(A74,2)))</f>
        <v>Monday</v>
      </c>
      <c r="D74" s="32">
        <f t="shared" ref="D74:D121" si="14">IF(OR(ISBLANK(A74),ISBLANK(B74)),,DAYS(B74,A74))</f>
        <v>1</v>
      </c>
      <c r="E74" s="33"/>
      <c r="F74" s="34" t="s">
        <v>100</v>
      </c>
      <c r="G74" s="34"/>
    </row>
    <row r="75" ht="15.75" customHeight="1">
      <c r="A75" s="30">
        <v>46019.0</v>
      </c>
      <c r="B75" s="30">
        <v>46020.0</v>
      </c>
      <c r="C75" s="31" t="str">
        <f t="shared" si="13"/>
        <v>Sunday</v>
      </c>
      <c r="D75" s="32">
        <f t="shared" si="14"/>
        <v>1</v>
      </c>
      <c r="E75" s="33"/>
      <c r="F75" s="34" t="s">
        <v>101</v>
      </c>
      <c r="G75" s="34"/>
    </row>
    <row r="76" ht="15.75" customHeight="1">
      <c r="A76" s="30">
        <v>46018.0</v>
      </c>
      <c r="B76" s="30">
        <v>46019.0</v>
      </c>
      <c r="C76" s="31" t="str">
        <f t="shared" si="13"/>
        <v>Saturday</v>
      </c>
      <c r="D76" s="32">
        <f t="shared" si="14"/>
        <v>1</v>
      </c>
      <c r="E76" s="33"/>
      <c r="F76" s="34" t="s">
        <v>102</v>
      </c>
      <c r="G76" s="34"/>
    </row>
    <row r="77" ht="15.75" customHeight="1">
      <c r="A77" s="30">
        <v>46017.0</v>
      </c>
      <c r="B77" s="30">
        <v>46018.0</v>
      </c>
      <c r="C77" s="31" t="str">
        <f t="shared" si="13"/>
        <v>Friday</v>
      </c>
      <c r="D77" s="32">
        <f t="shared" si="14"/>
        <v>1</v>
      </c>
      <c r="E77" s="33"/>
      <c r="F77" s="34" t="s">
        <v>103</v>
      </c>
      <c r="G77" s="34"/>
    </row>
    <row r="78" ht="15.75" customHeight="1">
      <c r="A78" s="39">
        <v>46016.0</v>
      </c>
      <c r="B78" s="39">
        <v>46023.0</v>
      </c>
      <c r="C78" s="40" t="str">
        <f t="shared" si="13"/>
        <v>Thursday</v>
      </c>
      <c r="D78" s="41">
        <f t="shared" si="14"/>
        <v>7</v>
      </c>
      <c r="E78" s="46" t="s">
        <v>36</v>
      </c>
      <c r="F78" s="42" t="s">
        <v>104</v>
      </c>
      <c r="G78" s="43"/>
    </row>
    <row r="79" ht="15.75" customHeight="1">
      <c r="A79" s="39"/>
      <c r="B79" s="39"/>
      <c r="C79" s="40" t="str">
        <f t="shared" si="13"/>
        <v/>
      </c>
      <c r="D79" s="41" t="str">
        <f t="shared" si="14"/>
        <v/>
      </c>
      <c r="E79" s="46" t="s">
        <v>36</v>
      </c>
      <c r="F79" s="42" t="s">
        <v>105</v>
      </c>
      <c r="G79" s="43"/>
    </row>
    <row r="80" ht="15.75" customHeight="1">
      <c r="A80" s="30">
        <v>46016.0</v>
      </c>
      <c r="B80" s="30">
        <v>46017.0</v>
      </c>
      <c r="C80" s="31" t="str">
        <f t="shared" si="13"/>
        <v>Thursday</v>
      </c>
      <c r="D80" s="32">
        <f t="shared" si="14"/>
        <v>1</v>
      </c>
      <c r="E80" s="33"/>
      <c r="F80" s="34" t="s">
        <v>106</v>
      </c>
      <c r="G80" s="34"/>
    </row>
    <row r="81" ht="15.75" customHeight="1">
      <c r="A81" s="30">
        <v>46015.0</v>
      </c>
      <c r="B81" s="30">
        <v>46016.0</v>
      </c>
      <c r="C81" s="31" t="str">
        <f t="shared" si="13"/>
        <v>Wednesday</v>
      </c>
      <c r="D81" s="32">
        <f t="shared" si="14"/>
        <v>1</v>
      </c>
      <c r="E81" s="33" t="s">
        <v>9</v>
      </c>
      <c r="F81" s="34" t="s">
        <v>107</v>
      </c>
      <c r="G81" s="34"/>
    </row>
    <row r="82" ht="15.75" customHeight="1">
      <c r="A82" s="30">
        <v>46014.0</v>
      </c>
      <c r="B82" s="30">
        <v>46015.0</v>
      </c>
      <c r="C82" s="31" t="str">
        <f t="shared" si="13"/>
        <v>Tuesday</v>
      </c>
      <c r="D82" s="32">
        <f t="shared" si="14"/>
        <v>1</v>
      </c>
      <c r="E82" s="33"/>
      <c r="F82" s="47" t="s">
        <v>108</v>
      </c>
      <c r="G82" s="34"/>
    </row>
    <row r="83" ht="15.75" customHeight="1">
      <c r="A83" s="36">
        <v>46013.0</v>
      </c>
      <c r="B83" s="36">
        <v>46027.0</v>
      </c>
      <c r="C83" s="37" t="str">
        <f t="shared" si="13"/>
        <v>Monday</v>
      </c>
      <c r="D83" s="7">
        <f t="shared" si="14"/>
        <v>14</v>
      </c>
      <c r="E83" s="8" t="s">
        <v>5</v>
      </c>
      <c r="F83" s="9" t="s">
        <v>109</v>
      </c>
      <c r="G83" s="45" t="s">
        <v>110</v>
      </c>
    </row>
    <row r="84" ht="15.75" customHeight="1">
      <c r="A84" s="30">
        <v>46013.0</v>
      </c>
      <c r="B84" s="30">
        <v>46014.0</v>
      </c>
      <c r="C84" s="31" t="str">
        <f t="shared" si="13"/>
        <v>Monday</v>
      </c>
      <c r="D84" s="32">
        <f t="shared" si="14"/>
        <v>1</v>
      </c>
      <c r="E84" s="33"/>
      <c r="F84" s="34" t="s">
        <v>111</v>
      </c>
      <c r="G84" s="34"/>
    </row>
    <row r="85" ht="15.75" customHeight="1">
      <c r="A85" s="30">
        <v>46012.0</v>
      </c>
      <c r="B85" s="30">
        <v>46013.0</v>
      </c>
      <c r="C85" s="31" t="str">
        <f t="shared" si="13"/>
        <v>Sunday</v>
      </c>
      <c r="D85" s="32">
        <f t="shared" si="14"/>
        <v>1</v>
      </c>
      <c r="E85" s="33"/>
      <c r="F85" s="34" t="s">
        <v>112</v>
      </c>
      <c r="G85" s="34"/>
    </row>
    <row r="86" ht="15.75" customHeight="1">
      <c r="A86" s="30">
        <v>46011.0</v>
      </c>
      <c r="B86" s="30">
        <v>46012.0</v>
      </c>
      <c r="C86" s="31" t="str">
        <f t="shared" si="13"/>
        <v>Saturday</v>
      </c>
      <c r="D86" s="32">
        <f t="shared" si="14"/>
        <v>1</v>
      </c>
      <c r="E86" s="33"/>
      <c r="F86" s="34" t="s">
        <v>113</v>
      </c>
      <c r="G86" s="34"/>
    </row>
    <row r="87" ht="15.75" customHeight="1">
      <c r="A87" s="30">
        <v>46010.0</v>
      </c>
      <c r="B87" s="30">
        <v>46011.0</v>
      </c>
      <c r="C87" s="31" t="str">
        <f t="shared" si="13"/>
        <v>Friday</v>
      </c>
      <c r="D87" s="32">
        <f t="shared" si="14"/>
        <v>1</v>
      </c>
      <c r="E87" s="33"/>
      <c r="F87" s="34" t="s">
        <v>114</v>
      </c>
      <c r="G87" s="34"/>
    </row>
    <row r="88" ht="15.75" customHeight="1">
      <c r="A88" s="39">
        <v>46009.0</v>
      </c>
      <c r="B88" s="39">
        <v>46016.0</v>
      </c>
      <c r="C88" s="40" t="str">
        <f t="shared" si="13"/>
        <v>Thursday</v>
      </c>
      <c r="D88" s="41">
        <f t="shared" si="14"/>
        <v>7</v>
      </c>
      <c r="E88" s="46" t="s">
        <v>30</v>
      </c>
      <c r="F88" s="42" t="s">
        <v>115</v>
      </c>
      <c r="G88" s="43"/>
    </row>
    <row r="89" ht="15.75" customHeight="1">
      <c r="A89" s="30">
        <v>46009.0</v>
      </c>
      <c r="B89" s="30">
        <v>46010.0</v>
      </c>
      <c r="C89" s="31" t="str">
        <f t="shared" si="13"/>
        <v>Thursday</v>
      </c>
      <c r="D89" s="32">
        <f t="shared" si="14"/>
        <v>1</v>
      </c>
      <c r="E89" s="33"/>
      <c r="F89" s="34" t="s">
        <v>116</v>
      </c>
      <c r="G89" s="34"/>
    </row>
    <row r="90" ht="15.75" customHeight="1">
      <c r="A90" s="30">
        <v>46003.0</v>
      </c>
      <c r="B90" s="30">
        <v>46009.0</v>
      </c>
      <c r="C90" s="31" t="str">
        <f t="shared" si="13"/>
        <v>Friday</v>
      </c>
      <c r="D90" s="32">
        <f t="shared" si="14"/>
        <v>6</v>
      </c>
      <c r="E90" s="33"/>
      <c r="F90" s="34" t="s">
        <v>117</v>
      </c>
      <c r="G90" s="34"/>
    </row>
    <row r="91" ht="15.75" customHeight="1">
      <c r="A91" s="39">
        <v>46002.0</v>
      </c>
      <c r="B91" s="39">
        <v>46009.0</v>
      </c>
      <c r="C91" s="40" t="str">
        <f t="shared" si="13"/>
        <v>Thursday</v>
      </c>
      <c r="D91" s="41">
        <f t="shared" si="14"/>
        <v>7</v>
      </c>
      <c r="E91" s="46" t="s">
        <v>30</v>
      </c>
      <c r="F91" s="42" t="s">
        <v>118</v>
      </c>
      <c r="G91" s="43"/>
    </row>
    <row r="92" ht="15.75" customHeight="1">
      <c r="A92" s="39">
        <v>45995.0</v>
      </c>
      <c r="B92" s="39">
        <v>46002.0</v>
      </c>
      <c r="C92" s="40" t="str">
        <f t="shared" si="13"/>
        <v>Thursday</v>
      </c>
      <c r="D92" s="41">
        <f t="shared" si="14"/>
        <v>7</v>
      </c>
      <c r="E92" s="46" t="s">
        <v>30</v>
      </c>
      <c r="F92" s="42" t="s">
        <v>119</v>
      </c>
      <c r="G92" s="43"/>
    </row>
    <row r="93" ht="15.75" customHeight="1">
      <c r="A93" s="36"/>
      <c r="B93" s="36"/>
      <c r="C93" s="37" t="str">
        <f t="shared" si="13"/>
        <v/>
      </c>
      <c r="D93" s="7" t="str">
        <f t="shared" si="14"/>
        <v/>
      </c>
      <c r="E93" s="8"/>
      <c r="F93" s="9" t="s">
        <v>119</v>
      </c>
      <c r="G93" s="9"/>
    </row>
    <row r="94" ht="15.75" customHeight="1">
      <c r="A94" s="36"/>
      <c r="B94" s="36"/>
      <c r="C94" s="37" t="str">
        <f t="shared" si="13"/>
        <v/>
      </c>
      <c r="D94" s="7" t="str">
        <f t="shared" si="14"/>
        <v/>
      </c>
      <c r="E94" s="8"/>
      <c r="F94" s="9" t="s">
        <v>120</v>
      </c>
      <c r="G94" s="9"/>
    </row>
    <row r="95" ht="15.75" customHeight="1">
      <c r="A95" s="39">
        <v>45988.0</v>
      </c>
      <c r="B95" s="39">
        <v>45995.0</v>
      </c>
      <c r="C95" s="40" t="str">
        <f t="shared" si="13"/>
        <v>Thursday</v>
      </c>
      <c r="D95" s="41">
        <f t="shared" si="14"/>
        <v>7</v>
      </c>
      <c r="E95" s="46" t="s">
        <v>30</v>
      </c>
      <c r="F95" s="42" t="s">
        <v>121</v>
      </c>
      <c r="G95" s="43"/>
    </row>
    <row r="96" ht="15.75" customHeight="1">
      <c r="A96" s="36"/>
      <c r="B96" s="36"/>
      <c r="C96" s="37" t="str">
        <f t="shared" si="13"/>
        <v/>
      </c>
      <c r="D96" s="7" t="str">
        <f t="shared" si="14"/>
        <v/>
      </c>
      <c r="E96" s="8"/>
      <c r="F96" s="9" t="s">
        <v>121</v>
      </c>
      <c r="G96" s="9"/>
    </row>
    <row r="97" ht="15.75" customHeight="1">
      <c r="A97" s="39">
        <v>45981.0</v>
      </c>
      <c r="B97" s="39">
        <v>45988.0</v>
      </c>
      <c r="C97" s="40" t="str">
        <f t="shared" si="13"/>
        <v>Thursday</v>
      </c>
      <c r="D97" s="41">
        <f t="shared" si="14"/>
        <v>7</v>
      </c>
      <c r="E97" s="46" t="s">
        <v>30</v>
      </c>
      <c r="F97" s="42" t="s">
        <v>122</v>
      </c>
      <c r="G97" s="43"/>
    </row>
    <row r="98" ht="15.75" customHeight="1">
      <c r="A98" s="36"/>
      <c r="B98" s="36"/>
      <c r="C98" s="37" t="str">
        <f t="shared" si="13"/>
        <v/>
      </c>
      <c r="D98" s="7" t="str">
        <f t="shared" si="14"/>
        <v/>
      </c>
      <c r="E98" s="8"/>
      <c r="F98" s="9" t="s">
        <v>123</v>
      </c>
      <c r="G98" s="9"/>
    </row>
    <row r="99" ht="15.75" customHeight="1">
      <c r="A99" s="36"/>
      <c r="B99" s="36"/>
      <c r="C99" s="37" t="str">
        <f t="shared" si="13"/>
        <v/>
      </c>
      <c r="D99" s="7" t="str">
        <f t="shared" si="14"/>
        <v/>
      </c>
      <c r="E99" s="8"/>
      <c r="F99" s="9" t="s">
        <v>122</v>
      </c>
      <c r="G99" s="9"/>
    </row>
    <row r="100" ht="15.75" customHeight="1">
      <c r="A100" s="39">
        <v>45974.0</v>
      </c>
      <c r="B100" s="39">
        <v>45981.0</v>
      </c>
      <c r="C100" s="40" t="str">
        <f t="shared" si="13"/>
        <v>Thursday</v>
      </c>
      <c r="D100" s="41">
        <f t="shared" si="14"/>
        <v>7</v>
      </c>
      <c r="E100" s="46" t="s">
        <v>30</v>
      </c>
      <c r="F100" s="42" t="s">
        <v>124</v>
      </c>
      <c r="G100" s="43"/>
    </row>
    <row r="101" ht="15.75" customHeight="1">
      <c r="A101" s="36"/>
      <c r="B101" s="36"/>
      <c r="C101" s="37" t="str">
        <f t="shared" si="13"/>
        <v/>
      </c>
      <c r="D101" s="7" t="str">
        <f t="shared" si="14"/>
        <v/>
      </c>
      <c r="E101" s="8"/>
      <c r="F101" s="9" t="s">
        <v>124</v>
      </c>
      <c r="G101" s="9"/>
    </row>
    <row r="102" ht="15.75" customHeight="1">
      <c r="A102" s="36"/>
      <c r="B102" s="36"/>
      <c r="C102" s="37" t="str">
        <f t="shared" si="13"/>
        <v/>
      </c>
      <c r="D102" s="7" t="str">
        <f t="shared" si="14"/>
        <v/>
      </c>
      <c r="E102" s="8"/>
      <c r="F102" s="9" t="s">
        <v>125</v>
      </c>
      <c r="G102" s="9"/>
    </row>
    <row r="103" ht="15.75" customHeight="1">
      <c r="A103" s="36"/>
      <c r="B103" s="36"/>
      <c r="C103" s="37" t="str">
        <f t="shared" si="13"/>
        <v/>
      </c>
      <c r="D103" s="7" t="str">
        <f t="shared" si="14"/>
        <v/>
      </c>
      <c r="E103" s="8"/>
      <c r="F103" s="9" t="s">
        <v>126</v>
      </c>
      <c r="G103" s="9"/>
    </row>
    <row r="104" ht="15.75" customHeight="1">
      <c r="A104" s="39">
        <v>45967.0</v>
      </c>
      <c r="B104" s="39">
        <v>45974.0</v>
      </c>
      <c r="C104" s="40" t="str">
        <f t="shared" si="13"/>
        <v>Thursday</v>
      </c>
      <c r="D104" s="41">
        <f t="shared" si="14"/>
        <v>7</v>
      </c>
      <c r="E104" s="46" t="s">
        <v>33</v>
      </c>
      <c r="F104" s="42" t="s">
        <v>127</v>
      </c>
      <c r="G104" s="42" t="s">
        <v>69</v>
      </c>
    </row>
    <row r="105" ht="15.75" customHeight="1">
      <c r="A105" s="36"/>
      <c r="B105" s="36"/>
      <c r="C105" s="37" t="str">
        <f t="shared" si="13"/>
        <v/>
      </c>
      <c r="D105" s="7" t="str">
        <f t="shared" si="14"/>
        <v/>
      </c>
      <c r="E105" s="8"/>
      <c r="F105" s="9" t="s">
        <v>128</v>
      </c>
      <c r="G105" s="9"/>
    </row>
    <row r="106" ht="15.75" customHeight="1">
      <c r="A106" s="36"/>
      <c r="B106" s="36"/>
      <c r="C106" s="37" t="str">
        <f t="shared" si="13"/>
        <v/>
      </c>
      <c r="D106" s="7" t="str">
        <f t="shared" si="14"/>
        <v/>
      </c>
      <c r="E106" s="8" t="s">
        <v>5</v>
      </c>
      <c r="F106" s="9" t="s">
        <v>127</v>
      </c>
      <c r="G106" s="45" t="s">
        <v>69</v>
      </c>
    </row>
    <row r="107" ht="15.75" customHeight="1">
      <c r="A107" s="39">
        <v>45960.0</v>
      </c>
      <c r="B107" s="39">
        <v>45967.0</v>
      </c>
      <c r="C107" s="40" t="str">
        <f t="shared" si="13"/>
        <v>Thursday</v>
      </c>
      <c r="D107" s="41">
        <f t="shared" si="14"/>
        <v>7</v>
      </c>
      <c r="E107" s="46" t="s">
        <v>30</v>
      </c>
      <c r="F107" s="42" t="s">
        <v>129</v>
      </c>
      <c r="G107" s="43"/>
    </row>
    <row r="108" ht="15.75" customHeight="1">
      <c r="A108" s="36"/>
      <c r="B108" s="36"/>
      <c r="C108" s="37" t="str">
        <f t="shared" si="13"/>
        <v/>
      </c>
      <c r="D108" s="7" t="str">
        <f t="shared" si="14"/>
        <v/>
      </c>
      <c r="E108" s="8"/>
      <c r="F108" s="9" t="s">
        <v>129</v>
      </c>
      <c r="G108" s="9"/>
    </row>
    <row r="109" ht="15.75" customHeight="1">
      <c r="A109" s="36"/>
      <c r="B109" s="36"/>
      <c r="C109" s="37" t="str">
        <f t="shared" si="13"/>
        <v/>
      </c>
      <c r="D109" s="7" t="str">
        <f t="shared" si="14"/>
        <v/>
      </c>
      <c r="E109" s="8"/>
      <c r="F109" s="9" t="s">
        <v>130</v>
      </c>
      <c r="G109" s="9"/>
    </row>
    <row r="110" ht="15.75" customHeight="1">
      <c r="A110" s="39">
        <v>45953.0</v>
      </c>
      <c r="B110" s="39">
        <v>45960.0</v>
      </c>
      <c r="C110" s="40" t="str">
        <f t="shared" si="13"/>
        <v>Thursday</v>
      </c>
      <c r="D110" s="41">
        <f t="shared" si="14"/>
        <v>7</v>
      </c>
      <c r="E110" s="46" t="s">
        <v>30</v>
      </c>
      <c r="F110" s="42" t="s">
        <v>131</v>
      </c>
      <c r="G110" s="43"/>
    </row>
    <row r="111" ht="15.75" customHeight="1">
      <c r="A111" s="36"/>
      <c r="B111" s="36"/>
      <c r="C111" s="37" t="str">
        <f t="shared" si="13"/>
        <v/>
      </c>
      <c r="D111" s="7" t="str">
        <f t="shared" si="14"/>
        <v/>
      </c>
      <c r="E111" s="8"/>
      <c r="F111" s="9" t="s">
        <v>132</v>
      </c>
      <c r="G111" s="9"/>
    </row>
    <row r="112" ht="15.75" customHeight="1">
      <c r="A112" s="39">
        <v>45946.0</v>
      </c>
      <c r="B112" s="39">
        <v>45953.0</v>
      </c>
      <c r="C112" s="40" t="str">
        <f t="shared" si="13"/>
        <v>Thursday</v>
      </c>
      <c r="D112" s="41">
        <f t="shared" si="14"/>
        <v>7</v>
      </c>
      <c r="E112" s="46" t="s">
        <v>30</v>
      </c>
      <c r="F112" s="42" t="s">
        <v>133</v>
      </c>
      <c r="G112" s="43"/>
    </row>
    <row r="113" ht="15.75" customHeight="1">
      <c r="A113" s="36"/>
      <c r="B113" s="36"/>
      <c r="C113" s="37" t="str">
        <f t="shared" si="13"/>
        <v/>
      </c>
      <c r="D113" s="7" t="str">
        <f t="shared" si="14"/>
        <v/>
      </c>
      <c r="E113" s="8"/>
      <c r="F113" s="9" t="s">
        <v>134</v>
      </c>
      <c r="G113" s="9"/>
    </row>
    <row r="114" ht="15.75" customHeight="1">
      <c r="A114" s="36"/>
      <c r="B114" s="36"/>
      <c r="C114" s="37" t="str">
        <f t="shared" si="13"/>
        <v/>
      </c>
      <c r="D114" s="7" t="str">
        <f t="shared" si="14"/>
        <v/>
      </c>
      <c r="E114" s="8"/>
      <c r="F114" s="9" t="s">
        <v>133</v>
      </c>
      <c r="G114" s="9"/>
    </row>
    <row r="115" ht="15.75" customHeight="1">
      <c r="A115" s="39">
        <v>45939.0</v>
      </c>
      <c r="B115" s="39">
        <v>45946.0</v>
      </c>
      <c r="C115" s="40" t="str">
        <f t="shared" si="13"/>
        <v>Thursday</v>
      </c>
      <c r="D115" s="41">
        <f t="shared" si="14"/>
        <v>7</v>
      </c>
      <c r="E115" s="46" t="s">
        <v>30</v>
      </c>
      <c r="F115" s="42" t="s">
        <v>135</v>
      </c>
      <c r="G115" s="43"/>
    </row>
    <row r="116" ht="15.75" customHeight="1">
      <c r="A116" s="36"/>
      <c r="B116" s="36"/>
      <c r="C116" s="37"/>
      <c r="D116" s="7" t="str">
        <f t="shared" si="14"/>
        <v/>
      </c>
      <c r="E116" s="8" t="s">
        <v>5</v>
      </c>
      <c r="F116" s="9" t="s">
        <v>136</v>
      </c>
      <c r="G116" s="45" t="s">
        <v>69</v>
      </c>
    </row>
    <row r="117" ht="15.75" customHeight="1">
      <c r="A117" s="36"/>
      <c r="B117" s="36"/>
      <c r="C117" s="37"/>
      <c r="D117" s="7" t="str">
        <f t="shared" si="14"/>
        <v/>
      </c>
      <c r="E117" s="8"/>
      <c r="F117" s="9" t="s">
        <v>137</v>
      </c>
      <c r="G117" s="45"/>
    </row>
    <row r="118" ht="15.75" customHeight="1">
      <c r="A118" s="39">
        <v>45932.0</v>
      </c>
      <c r="B118" s="39">
        <v>45939.0</v>
      </c>
      <c r="C118" s="40" t="str">
        <f t="shared" ref="C118:C121" si="15">IF(ISBLANK(A118),,INDEX({"Monday";"Tuesday";"Wednesday";"Thursday";"Friday";"Saturday";"Sunday"},WEEKDAY(A118,2)))</f>
        <v>Thursday</v>
      </c>
      <c r="D118" s="41">
        <f t="shared" si="14"/>
        <v>7</v>
      </c>
      <c r="E118" s="46" t="s">
        <v>30</v>
      </c>
      <c r="F118" s="42" t="s">
        <v>138</v>
      </c>
      <c r="G118" s="43"/>
    </row>
    <row r="119" ht="15.75" customHeight="1">
      <c r="A119" s="36"/>
      <c r="B119" s="36"/>
      <c r="C119" s="37" t="str">
        <f t="shared" si="15"/>
        <v/>
      </c>
      <c r="D119" s="7" t="str">
        <f t="shared" si="14"/>
        <v/>
      </c>
      <c r="E119" s="8" t="s">
        <v>5</v>
      </c>
      <c r="F119" s="45" t="s">
        <v>139</v>
      </c>
      <c r="G119" s="45" t="s">
        <v>69</v>
      </c>
    </row>
    <row r="120" ht="15.75" customHeight="1">
      <c r="A120" s="36"/>
      <c r="B120" s="36"/>
      <c r="C120" s="37" t="str">
        <f t="shared" si="15"/>
        <v/>
      </c>
      <c r="D120" s="7" t="str">
        <f t="shared" si="14"/>
        <v/>
      </c>
      <c r="E120" s="8"/>
      <c r="F120" s="9" t="s">
        <v>140</v>
      </c>
      <c r="G120" s="9"/>
    </row>
    <row r="121" ht="15.75" customHeight="1">
      <c r="A121" s="39">
        <v>45925.0</v>
      </c>
      <c r="B121" s="39">
        <v>45932.0</v>
      </c>
      <c r="C121" s="40" t="str">
        <f t="shared" si="15"/>
        <v>Thursday</v>
      </c>
      <c r="D121" s="41">
        <f t="shared" si="14"/>
        <v>7</v>
      </c>
      <c r="E121" s="46" t="s">
        <v>36</v>
      </c>
      <c r="F121" s="42" t="s">
        <v>141</v>
      </c>
      <c r="G121" s="43"/>
    </row>
    <row r="122" ht="15.75" customHeight="1">
      <c r="A122" s="36"/>
      <c r="B122" s="36"/>
      <c r="C122" s="37"/>
      <c r="D122" s="7"/>
      <c r="E122" s="8"/>
      <c r="F122" s="9" t="s">
        <v>141</v>
      </c>
      <c r="G122" s="9"/>
    </row>
    <row r="123" ht="15.75" customHeight="1">
      <c r="A123" s="36"/>
      <c r="B123" s="36"/>
      <c r="C123" s="37" t="str">
        <f t="shared" ref="C123:C826" si="16">IF(ISBLANK(A123),,INDEX({"Monday";"Tuesday";"Wednesday";"Thursday";"Friday";"Saturday";"Sunday"},WEEKDAY(A123,2)))</f>
        <v/>
      </c>
      <c r="D123" s="7" t="str">
        <f t="shared" ref="D123:D826" si="17">IF(OR(ISBLANK(A123),ISBLANK(B123)),,DAYS(B123,A123))</f>
        <v/>
      </c>
      <c r="E123" s="8"/>
      <c r="F123" s="9" t="s">
        <v>142</v>
      </c>
      <c r="G123" s="9"/>
    </row>
    <row r="124" ht="15.75" customHeight="1">
      <c r="A124" s="39">
        <v>45918.0</v>
      </c>
      <c r="B124" s="39">
        <v>45925.0</v>
      </c>
      <c r="C124" s="40" t="str">
        <f t="shared" si="16"/>
        <v>Thursday</v>
      </c>
      <c r="D124" s="41">
        <f t="shared" si="17"/>
        <v>7</v>
      </c>
      <c r="E124" s="46" t="s">
        <v>33</v>
      </c>
      <c r="F124" s="42" t="s">
        <v>143</v>
      </c>
      <c r="G124" s="42" t="s">
        <v>144</v>
      </c>
    </row>
    <row r="125" ht="15.75" customHeight="1">
      <c r="A125" s="39"/>
      <c r="B125" s="39"/>
      <c r="C125" s="40" t="str">
        <f t="shared" si="16"/>
        <v/>
      </c>
      <c r="D125" s="41" t="str">
        <f t="shared" si="17"/>
        <v/>
      </c>
      <c r="E125" s="46" t="s">
        <v>30</v>
      </c>
      <c r="F125" s="42" t="s">
        <v>145</v>
      </c>
      <c r="G125" s="43"/>
    </row>
    <row r="126" ht="15.75" customHeight="1">
      <c r="A126" s="36"/>
      <c r="B126" s="36"/>
      <c r="C126" s="37" t="str">
        <f t="shared" si="16"/>
        <v/>
      </c>
      <c r="D126" s="7" t="str">
        <f t="shared" si="17"/>
        <v/>
      </c>
      <c r="E126" s="8"/>
      <c r="F126" s="9" t="s">
        <v>146</v>
      </c>
      <c r="G126" s="9"/>
    </row>
    <row r="127" ht="15.75" customHeight="1">
      <c r="A127" s="36"/>
      <c r="B127" s="36"/>
      <c r="C127" s="37" t="str">
        <f t="shared" si="16"/>
        <v/>
      </c>
      <c r="D127" s="7" t="str">
        <f t="shared" si="17"/>
        <v/>
      </c>
      <c r="E127" s="8"/>
      <c r="F127" s="9" t="s">
        <v>145</v>
      </c>
      <c r="G127" s="9"/>
    </row>
    <row r="128" ht="15.75" customHeight="1">
      <c r="A128" s="39">
        <v>45911.0</v>
      </c>
      <c r="B128" s="39">
        <v>45918.0</v>
      </c>
      <c r="C128" s="40" t="str">
        <f t="shared" si="16"/>
        <v>Thursday</v>
      </c>
      <c r="D128" s="41">
        <f t="shared" si="17"/>
        <v>7</v>
      </c>
      <c r="E128" s="46" t="s">
        <v>30</v>
      </c>
      <c r="F128" s="42" t="s">
        <v>105</v>
      </c>
      <c r="G128" s="43"/>
    </row>
    <row r="129" ht="15.75" customHeight="1">
      <c r="A129" s="39"/>
      <c r="B129" s="39"/>
      <c r="C129" s="40" t="str">
        <f t="shared" si="16"/>
        <v/>
      </c>
      <c r="D129" s="41" t="str">
        <f t="shared" si="17"/>
        <v/>
      </c>
      <c r="E129" s="46" t="s">
        <v>30</v>
      </c>
      <c r="F129" s="42" t="s">
        <v>147</v>
      </c>
      <c r="G129" s="43"/>
    </row>
    <row r="130" ht="15.75" customHeight="1">
      <c r="A130" s="36"/>
      <c r="B130" s="36"/>
      <c r="C130" s="37" t="str">
        <f t="shared" si="16"/>
        <v/>
      </c>
      <c r="D130" s="7" t="str">
        <f t="shared" si="17"/>
        <v/>
      </c>
      <c r="E130" s="8" t="s">
        <v>9</v>
      </c>
      <c r="F130" s="9" t="s">
        <v>148</v>
      </c>
      <c r="G130" s="9"/>
    </row>
    <row r="131" ht="15.75" customHeight="1">
      <c r="A131" s="36"/>
      <c r="B131" s="36"/>
      <c r="C131" s="37" t="str">
        <f t="shared" si="16"/>
        <v/>
      </c>
      <c r="D131" s="7" t="str">
        <f t="shared" si="17"/>
        <v/>
      </c>
      <c r="E131" s="8"/>
      <c r="F131" s="9" t="s">
        <v>105</v>
      </c>
      <c r="G131" s="9"/>
    </row>
    <row r="132" ht="15.75" customHeight="1">
      <c r="A132" s="36"/>
      <c r="B132" s="36"/>
      <c r="C132" s="37" t="str">
        <f t="shared" si="16"/>
        <v/>
      </c>
      <c r="D132" s="7" t="str">
        <f t="shared" si="17"/>
        <v/>
      </c>
      <c r="E132" s="8"/>
      <c r="F132" s="9" t="s">
        <v>147</v>
      </c>
      <c r="G132" s="9"/>
    </row>
    <row r="133" ht="15.75" customHeight="1">
      <c r="A133" s="39">
        <v>45904.0</v>
      </c>
      <c r="B133" s="39">
        <v>45911.0</v>
      </c>
      <c r="C133" s="40" t="str">
        <f t="shared" si="16"/>
        <v>Thursday</v>
      </c>
      <c r="D133" s="41">
        <f t="shared" si="17"/>
        <v>7</v>
      </c>
      <c r="E133" s="46" t="s">
        <v>30</v>
      </c>
      <c r="F133" s="42" t="s">
        <v>104</v>
      </c>
      <c r="G133" s="43"/>
    </row>
    <row r="134" ht="15.75" customHeight="1">
      <c r="A134" s="36"/>
      <c r="B134" s="36"/>
      <c r="C134" s="37" t="str">
        <f t="shared" si="16"/>
        <v/>
      </c>
      <c r="D134" s="7" t="str">
        <f t="shared" si="17"/>
        <v/>
      </c>
      <c r="E134" s="8"/>
      <c r="F134" s="9" t="s">
        <v>104</v>
      </c>
      <c r="G134" s="9"/>
    </row>
    <row r="135" ht="15.75" customHeight="1">
      <c r="A135" s="38">
        <v>45897.0</v>
      </c>
      <c r="B135" s="39">
        <v>45904.0</v>
      </c>
      <c r="C135" s="40" t="str">
        <f t="shared" si="16"/>
        <v>Thursday</v>
      </c>
      <c r="D135" s="41">
        <f t="shared" si="17"/>
        <v>7</v>
      </c>
      <c r="E135" s="46" t="s">
        <v>30</v>
      </c>
      <c r="F135" s="42" t="s">
        <v>149</v>
      </c>
      <c r="G135" s="43"/>
    </row>
    <row r="136" ht="15.75" customHeight="1">
      <c r="A136" s="48"/>
      <c r="B136" s="36"/>
      <c r="C136" s="37" t="str">
        <f t="shared" si="16"/>
        <v/>
      </c>
      <c r="D136" s="7" t="str">
        <f t="shared" si="17"/>
        <v/>
      </c>
      <c r="E136" s="8"/>
      <c r="F136" s="9" t="s">
        <v>149</v>
      </c>
      <c r="G136" s="9"/>
    </row>
    <row r="137" ht="15.75" customHeight="1">
      <c r="A137" s="48"/>
      <c r="B137" s="36"/>
      <c r="C137" s="37" t="str">
        <f t="shared" si="16"/>
        <v/>
      </c>
      <c r="D137" s="7" t="str">
        <f t="shared" si="17"/>
        <v/>
      </c>
      <c r="E137" s="8"/>
      <c r="F137" s="9" t="s">
        <v>150</v>
      </c>
      <c r="G137" s="9"/>
    </row>
    <row r="138" ht="15.75" customHeight="1">
      <c r="A138" s="38">
        <v>45890.0</v>
      </c>
      <c r="B138" s="39">
        <v>45897.0</v>
      </c>
      <c r="C138" s="40" t="str">
        <f t="shared" si="16"/>
        <v>Thursday</v>
      </c>
      <c r="D138" s="41">
        <f t="shared" si="17"/>
        <v>7</v>
      </c>
      <c r="E138" s="46" t="s">
        <v>30</v>
      </c>
      <c r="F138" s="42" t="s">
        <v>151</v>
      </c>
      <c r="G138" s="43"/>
    </row>
    <row r="139" ht="15.75" customHeight="1">
      <c r="A139" s="36"/>
      <c r="B139" s="36"/>
      <c r="C139" s="37" t="str">
        <f t="shared" si="16"/>
        <v/>
      </c>
      <c r="D139" s="7" t="str">
        <f t="shared" si="17"/>
        <v/>
      </c>
      <c r="E139" s="8"/>
      <c r="F139" s="9" t="s">
        <v>152</v>
      </c>
      <c r="G139" s="9"/>
    </row>
    <row r="140" ht="15.75" customHeight="1">
      <c r="A140" s="36"/>
      <c r="B140" s="36"/>
      <c r="C140" s="37" t="str">
        <f t="shared" si="16"/>
        <v/>
      </c>
      <c r="D140" s="7" t="str">
        <f t="shared" si="17"/>
        <v/>
      </c>
      <c r="E140" s="8"/>
      <c r="F140" s="9" t="s">
        <v>151</v>
      </c>
      <c r="G140" s="9"/>
    </row>
    <row r="141" ht="15.75" customHeight="1">
      <c r="A141" s="38">
        <v>45883.0</v>
      </c>
      <c r="B141" s="39">
        <v>45890.0</v>
      </c>
      <c r="C141" s="40" t="str">
        <f t="shared" si="16"/>
        <v>Thursday</v>
      </c>
      <c r="D141" s="41">
        <f t="shared" si="17"/>
        <v>7</v>
      </c>
      <c r="E141" s="46" t="s">
        <v>30</v>
      </c>
      <c r="F141" s="42" t="s">
        <v>153</v>
      </c>
      <c r="G141" s="43"/>
    </row>
    <row r="142" ht="15.75" customHeight="1">
      <c r="A142" s="36"/>
      <c r="B142" s="36"/>
      <c r="C142" s="37" t="str">
        <f t="shared" si="16"/>
        <v/>
      </c>
      <c r="D142" s="7" t="str">
        <f t="shared" si="17"/>
        <v/>
      </c>
      <c r="E142" s="8"/>
      <c r="F142" s="9" t="s">
        <v>153</v>
      </c>
      <c r="G142" s="9"/>
    </row>
    <row r="143" ht="15.75" customHeight="1">
      <c r="A143" s="36"/>
      <c r="B143" s="36"/>
      <c r="C143" s="37" t="str">
        <f t="shared" si="16"/>
        <v/>
      </c>
      <c r="D143" s="7" t="str">
        <f t="shared" si="17"/>
        <v/>
      </c>
      <c r="E143" s="8" t="s">
        <v>9</v>
      </c>
      <c r="F143" s="9" t="s">
        <v>154</v>
      </c>
      <c r="G143" s="9"/>
    </row>
    <row r="144" ht="15.75" customHeight="1">
      <c r="A144" s="38">
        <v>45876.0</v>
      </c>
      <c r="B144" s="39">
        <v>45883.0</v>
      </c>
      <c r="C144" s="40" t="str">
        <f t="shared" si="16"/>
        <v>Thursday</v>
      </c>
      <c r="D144" s="41">
        <f t="shared" si="17"/>
        <v>7</v>
      </c>
      <c r="E144" s="46" t="s">
        <v>30</v>
      </c>
      <c r="F144" s="42" t="s">
        <v>155</v>
      </c>
      <c r="G144" s="43"/>
    </row>
    <row r="145" ht="15.75" customHeight="1">
      <c r="A145" s="36"/>
      <c r="B145" s="36"/>
      <c r="C145" s="37" t="str">
        <f t="shared" si="16"/>
        <v/>
      </c>
      <c r="D145" s="7" t="str">
        <f t="shared" si="17"/>
        <v/>
      </c>
      <c r="E145" s="8"/>
      <c r="F145" s="9" t="s">
        <v>155</v>
      </c>
      <c r="G145" s="9"/>
    </row>
    <row r="146" ht="15.75" customHeight="1">
      <c r="A146" s="36"/>
      <c r="B146" s="36"/>
      <c r="C146" s="37" t="str">
        <f t="shared" si="16"/>
        <v/>
      </c>
      <c r="D146" s="7" t="str">
        <f t="shared" si="17"/>
        <v/>
      </c>
      <c r="E146" s="8"/>
      <c r="F146" s="9" t="s">
        <v>156</v>
      </c>
      <c r="G146" s="9"/>
    </row>
    <row r="147" ht="15.75" customHeight="1">
      <c r="A147" s="38">
        <v>45869.0</v>
      </c>
      <c r="B147" s="39">
        <v>45876.0</v>
      </c>
      <c r="C147" s="40" t="str">
        <f t="shared" si="16"/>
        <v>Thursday</v>
      </c>
      <c r="D147" s="41">
        <f t="shared" si="17"/>
        <v>7</v>
      </c>
      <c r="E147" s="46" t="s">
        <v>30</v>
      </c>
      <c r="F147" s="42" t="s">
        <v>157</v>
      </c>
      <c r="G147" s="43"/>
    </row>
    <row r="148" ht="15.75" customHeight="1">
      <c r="A148" s="36"/>
      <c r="B148" s="36"/>
      <c r="C148" s="37" t="str">
        <f t="shared" si="16"/>
        <v/>
      </c>
      <c r="D148" s="7" t="str">
        <f t="shared" si="17"/>
        <v/>
      </c>
      <c r="E148" s="8"/>
      <c r="F148" s="9" t="s">
        <v>158</v>
      </c>
      <c r="G148" s="9"/>
    </row>
    <row r="149" ht="15.75" customHeight="1">
      <c r="A149" s="36"/>
      <c r="B149" s="36"/>
      <c r="C149" s="37" t="str">
        <f t="shared" si="16"/>
        <v/>
      </c>
      <c r="D149" s="7" t="str">
        <f t="shared" si="17"/>
        <v/>
      </c>
      <c r="E149" s="8"/>
      <c r="F149" s="9" t="s">
        <v>157</v>
      </c>
      <c r="G149" s="9"/>
    </row>
    <row r="150" ht="15.75" customHeight="1">
      <c r="A150" s="38">
        <v>45862.0</v>
      </c>
      <c r="B150" s="39">
        <v>45869.0</v>
      </c>
      <c r="C150" s="40" t="str">
        <f t="shared" si="16"/>
        <v>Thursday</v>
      </c>
      <c r="D150" s="41">
        <f t="shared" si="17"/>
        <v>7</v>
      </c>
      <c r="E150" s="46" t="s">
        <v>30</v>
      </c>
      <c r="F150" s="42" t="s">
        <v>159</v>
      </c>
      <c r="G150" s="43"/>
    </row>
    <row r="151" ht="15.75" customHeight="1">
      <c r="A151" s="48"/>
      <c r="B151" s="36"/>
      <c r="C151" s="37" t="str">
        <f t="shared" si="16"/>
        <v/>
      </c>
      <c r="D151" s="7" t="str">
        <f t="shared" si="17"/>
        <v/>
      </c>
      <c r="E151" s="8"/>
      <c r="F151" s="9" t="s">
        <v>160</v>
      </c>
      <c r="G151" s="9"/>
    </row>
    <row r="152" ht="15.75" customHeight="1">
      <c r="A152" s="38">
        <v>45855.0</v>
      </c>
      <c r="B152" s="39">
        <v>45862.0</v>
      </c>
      <c r="C152" s="40" t="str">
        <f t="shared" si="16"/>
        <v>Thursday</v>
      </c>
      <c r="D152" s="41">
        <f t="shared" si="17"/>
        <v>7</v>
      </c>
      <c r="E152" s="46" t="s">
        <v>30</v>
      </c>
      <c r="F152" s="42" t="s">
        <v>161</v>
      </c>
      <c r="G152" s="43"/>
    </row>
    <row r="153" ht="15.75" customHeight="1">
      <c r="A153" s="48"/>
      <c r="B153" s="36"/>
      <c r="C153" s="37" t="str">
        <f t="shared" si="16"/>
        <v/>
      </c>
      <c r="D153" s="7" t="str">
        <f t="shared" si="17"/>
        <v/>
      </c>
      <c r="E153" s="8"/>
      <c r="F153" s="9" t="s">
        <v>162</v>
      </c>
      <c r="G153" s="9"/>
    </row>
    <row r="154" ht="15.75" customHeight="1">
      <c r="A154" s="38">
        <v>45848.0</v>
      </c>
      <c r="B154" s="39">
        <v>45855.0</v>
      </c>
      <c r="C154" s="40" t="str">
        <f t="shared" si="16"/>
        <v>Thursday</v>
      </c>
      <c r="D154" s="41">
        <f t="shared" si="17"/>
        <v>7</v>
      </c>
      <c r="E154" s="46" t="s">
        <v>30</v>
      </c>
      <c r="F154" s="42" t="s">
        <v>163</v>
      </c>
      <c r="G154" s="43"/>
    </row>
    <row r="155" ht="15.75" customHeight="1">
      <c r="A155" s="36"/>
      <c r="B155" s="36"/>
      <c r="C155" s="37" t="str">
        <f t="shared" si="16"/>
        <v/>
      </c>
      <c r="D155" s="7" t="str">
        <f t="shared" si="17"/>
        <v/>
      </c>
      <c r="E155" s="8"/>
      <c r="F155" s="9" t="s">
        <v>163</v>
      </c>
      <c r="G155" s="9"/>
    </row>
    <row r="156" ht="15.75" customHeight="1">
      <c r="A156" s="36"/>
      <c r="B156" s="36"/>
      <c r="C156" s="37" t="str">
        <f t="shared" si="16"/>
        <v/>
      </c>
      <c r="D156" s="7" t="str">
        <f t="shared" si="17"/>
        <v/>
      </c>
      <c r="E156" s="8"/>
      <c r="F156" s="9" t="s">
        <v>164</v>
      </c>
      <c r="G156" s="9"/>
    </row>
    <row r="157" ht="15.75" customHeight="1">
      <c r="A157" s="38">
        <v>45841.0</v>
      </c>
      <c r="B157" s="39">
        <v>45848.0</v>
      </c>
      <c r="C157" s="40" t="str">
        <f t="shared" si="16"/>
        <v>Thursday</v>
      </c>
      <c r="D157" s="41">
        <f t="shared" si="17"/>
        <v>7</v>
      </c>
      <c r="E157" s="46" t="s">
        <v>30</v>
      </c>
      <c r="F157" s="42" t="s">
        <v>165</v>
      </c>
      <c r="G157" s="43"/>
    </row>
    <row r="158" ht="15.75" customHeight="1">
      <c r="A158" s="36"/>
      <c r="B158" s="36"/>
      <c r="C158" s="37" t="str">
        <f t="shared" si="16"/>
        <v/>
      </c>
      <c r="D158" s="7" t="str">
        <f t="shared" si="17"/>
        <v/>
      </c>
      <c r="E158" s="8"/>
      <c r="F158" s="9" t="s">
        <v>166</v>
      </c>
      <c r="G158" s="9"/>
    </row>
    <row r="159" ht="15.75" customHeight="1">
      <c r="A159" s="36"/>
      <c r="B159" s="36"/>
      <c r="C159" s="37" t="str">
        <f t="shared" si="16"/>
        <v/>
      </c>
      <c r="D159" s="7" t="str">
        <f t="shared" si="17"/>
        <v/>
      </c>
      <c r="E159" s="8" t="s">
        <v>9</v>
      </c>
      <c r="F159" s="9" t="s">
        <v>165</v>
      </c>
      <c r="G159" s="9"/>
    </row>
    <row r="160" ht="15.75" customHeight="1">
      <c r="A160" s="38">
        <v>45834.0</v>
      </c>
      <c r="B160" s="39">
        <v>45841.0</v>
      </c>
      <c r="C160" s="40" t="str">
        <f t="shared" si="16"/>
        <v>Thursday</v>
      </c>
      <c r="D160" s="41">
        <f t="shared" si="17"/>
        <v>7</v>
      </c>
      <c r="E160" s="46" t="s">
        <v>30</v>
      </c>
      <c r="F160" s="42" t="s">
        <v>167</v>
      </c>
      <c r="G160" s="43"/>
    </row>
    <row r="161" ht="15.75" customHeight="1">
      <c r="A161" s="48"/>
      <c r="B161" s="36"/>
      <c r="C161" s="37" t="str">
        <f t="shared" si="16"/>
        <v/>
      </c>
      <c r="D161" s="7" t="str">
        <f t="shared" si="17"/>
        <v/>
      </c>
      <c r="E161" s="8" t="s">
        <v>9</v>
      </c>
      <c r="F161" s="9" t="s">
        <v>168</v>
      </c>
      <c r="G161" s="9"/>
    </row>
    <row r="162" ht="15.75" customHeight="1">
      <c r="A162" s="38">
        <v>45827.0</v>
      </c>
      <c r="B162" s="39">
        <v>45834.0</v>
      </c>
      <c r="C162" s="40" t="str">
        <f t="shared" si="16"/>
        <v>Thursday</v>
      </c>
      <c r="D162" s="41">
        <f t="shared" si="17"/>
        <v>7</v>
      </c>
      <c r="E162" s="46" t="s">
        <v>30</v>
      </c>
      <c r="F162" s="42" t="s">
        <v>169</v>
      </c>
      <c r="G162" s="43"/>
    </row>
    <row r="163" ht="15.75" customHeight="1">
      <c r="A163" s="36"/>
      <c r="B163" s="36"/>
      <c r="C163" s="37" t="str">
        <f t="shared" si="16"/>
        <v/>
      </c>
      <c r="D163" s="7" t="str">
        <f t="shared" si="17"/>
        <v/>
      </c>
      <c r="E163" s="8"/>
      <c r="F163" s="9" t="s">
        <v>170</v>
      </c>
      <c r="G163" s="9"/>
    </row>
    <row r="164" ht="15.75" customHeight="1">
      <c r="A164" s="38">
        <v>45820.0</v>
      </c>
      <c r="B164" s="39">
        <v>45827.0</v>
      </c>
      <c r="C164" s="40" t="str">
        <f t="shared" si="16"/>
        <v>Thursday</v>
      </c>
      <c r="D164" s="41">
        <f t="shared" si="17"/>
        <v>7</v>
      </c>
      <c r="E164" s="46" t="s">
        <v>30</v>
      </c>
      <c r="F164" s="42" t="s">
        <v>171</v>
      </c>
      <c r="G164" s="43"/>
    </row>
    <row r="165" ht="15.75" customHeight="1">
      <c r="A165" s="38"/>
      <c r="B165" s="39"/>
      <c r="C165" s="40" t="str">
        <f t="shared" si="16"/>
        <v/>
      </c>
      <c r="D165" s="41" t="str">
        <f t="shared" si="17"/>
        <v/>
      </c>
      <c r="E165" s="46" t="s">
        <v>33</v>
      </c>
      <c r="F165" s="42" t="s">
        <v>172</v>
      </c>
      <c r="G165" s="42" t="s">
        <v>69</v>
      </c>
    </row>
    <row r="166" ht="15.75" customHeight="1">
      <c r="A166" s="36"/>
      <c r="B166" s="36"/>
      <c r="C166" s="37" t="str">
        <f t="shared" si="16"/>
        <v/>
      </c>
      <c r="D166" s="7" t="str">
        <f t="shared" si="17"/>
        <v/>
      </c>
      <c r="E166" s="8"/>
      <c r="F166" s="9" t="s">
        <v>173</v>
      </c>
      <c r="G166" s="9"/>
    </row>
    <row r="167" ht="15.75" customHeight="1">
      <c r="A167" s="38">
        <v>45813.0</v>
      </c>
      <c r="B167" s="39">
        <v>45820.0</v>
      </c>
      <c r="C167" s="40" t="str">
        <f t="shared" si="16"/>
        <v>Thursday</v>
      </c>
      <c r="D167" s="41">
        <f t="shared" si="17"/>
        <v>7</v>
      </c>
      <c r="E167" s="46" t="s">
        <v>30</v>
      </c>
      <c r="F167" s="42" t="s">
        <v>174</v>
      </c>
      <c r="G167" s="43"/>
    </row>
    <row r="168" ht="15.75" customHeight="1">
      <c r="A168" s="30"/>
      <c r="B168" s="30"/>
      <c r="C168" s="31" t="str">
        <f t="shared" si="16"/>
        <v/>
      </c>
      <c r="D168" s="32" t="str">
        <f t="shared" si="17"/>
        <v/>
      </c>
      <c r="E168" s="33"/>
      <c r="F168" s="34" t="s">
        <v>175</v>
      </c>
      <c r="G168" s="34"/>
    </row>
    <row r="169" ht="15.75" customHeight="1">
      <c r="A169" s="30"/>
      <c r="B169" s="30"/>
      <c r="C169" s="31" t="str">
        <f t="shared" si="16"/>
        <v/>
      </c>
      <c r="D169" s="32" t="str">
        <f t="shared" si="17"/>
        <v/>
      </c>
      <c r="E169" s="33"/>
      <c r="F169" s="34" t="s">
        <v>174</v>
      </c>
      <c r="G169" s="34"/>
    </row>
    <row r="170" ht="15.75" customHeight="1">
      <c r="A170" s="49">
        <v>45811.0</v>
      </c>
      <c r="B170" s="49">
        <v>45901.0</v>
      </c>
      <c r="C170" s="50" t="str">
        <f t="shared" si="16"/>
        <v>Tuesday</v>
      </c>
      <c r="D170" s="12">
        <f t="shared" si="17"/>
        <v>90</v>
      </c>
      <c r="E170" s="13" t="s">
        <v>21</v>
      </c>
      <c r="F170" s="14" t="s">
        <v>176</v>
      </c>
      <c r="G170" s="14" t="s">
        <v>177</v>
      </c>
    </row>
    <row r="171" ht="15.75" customHeight="1">
      <c r="A171" s="38">
        <v>45806.0</v>
      </c>
      <c r="B171" s="39">
        <v>45813.0</v>
      </c>
      <c r="C171" s="40" t="str">
        <f t="shared" si="16"/>
        <v>Thursday</v>
      </c>
      <c r="D171" s="41">
        <f t="shared" si="17"/>
        <v>7</v>
      </c>
      <c r="E171" s="46" t="s">
        <v>30</v>
      </c>
      <c r="F171" s="42" t="s">
        <v>178</v>
      </c>
      <c r="G171" s="43"/>
    </row>
    <row r="172" ht="15.75" customHeight="1">
      <c r="A172" s="30"/>
      <c r="B172" s="30"/>
      <c r="C172" s="31" t="str">
        <f t="shared" si="16"/>
        <v/>
      </c>
      <c r="D172" s="32" t="str">
        <f t="shared" si="17"/>
        <v/>
      </c>
      <c r="E172" s="33" t="s">
        <v>9</v>
      </c>
      <c r="F172" s="34" t="s">
        <v>178</v>
      </c>
      <c r="G172" s="34"/>
    </row>
    <row r="173" ht="15.75" customHeight="1">
      <c r="A173" s="30"/>
      <c r="B173" s="30"/>
      <c r="C173" s="31" t="str">
        <f t="shared" si="16"/>
        <v/>
      </c>
      <c r="D173" s="32" t="str">
        <f t="shared" si="17"/>
        <v/>
      </c>
      <c r="E173" s="33"/>
      <c r="F173" s="34" t="s">
        <v>179</v>
      </c>
      <c r="G173" s="34"/>
    </row>
    <row r="174" ht="15.75" customHeight="1">
      <c r="A174" s="38">
        <v>45799.0</v>
      </c>
      <c r="B174" s="39">
        <v>45806.0</v>
      </c>
      <c r="C174" s="40" t="str">
        <f t="shared" si="16"/>
        <v>Thursday</v>
      </c>
      <c r="D174" s="41">
        <f t="shared" si="17"/>
        <v>7</v>
      </c>
      <c r="E174" s="46" t="s">
        <v>30</v>
      </c>
      <c r="F174" s="42" t="s">
        <v>180</v>
      </c>
      <c r="G174" s="43"/>
    </row>
    <row r="175" ht="15.75" customHeight="1">
      <c r="A175" s="30"/>
      <c r="B175" s="30"/>
      <c r="C175" s="31" t="str">
        <f t="shared" si="16"/>
        <v/>
      </c>
      <c r="D175" s="32" t="str">
        <f t="shared" si="17"/>
        <v/>
      </c>
      <c r="E175" s="33"/>
      <c r="F175" s="34" t="s">
        <v>181</v>
      </c>
      <c r="G175" s="34"/>
    </row>
    <row r="176" ht="15.75" customHeight="1">
      <c r="A176" s="30"/>
      <c r="B176" s="30"/>
      <c r="C176" s="31" t="str">
        <f t="shared" si="16"/>
        <v/>
      </c>
      <c r="D176" s="32" t="str">
        <f t="shared" si="17"/>
        <v/>
      </c>
      <c r="E176" s="33"/>
      <c r="F176" s="34" t="s">
        <v>180</v>
      </c>
      <c r="G176" s="34"/>
    </row>
    <row r="177" ht="15.75" customHeight="1">
      <c r="A177" s="30"/>
      <c r="B177" s="30"/>
      <c r="C177" s="31" t="str">
        <f t="shared" si="16"/>
        <v/>
      </c>
      <c r="D177" s="32" t="str">
        <f t="shared" si="17"/>
        <v/>
      </c>
      <c r="E177" s="33" t="s">
        <v>9</v>
      </c>
      <c r="F177" s="34" t="s">
        <v>182</v>
      </c>
      <c r="G177" s="34"/>
    </row>
    <row r="178" ht="15.75" customHeight="1">
      <c r="A178" s="36">
        <v>45793.0</v>
      </c>
      <c r="B178" s="36">
        <v>45820.0</v>
      </c>
      <c r="C178" s="37" t="str">
        <f t="shared" si="16"/>
        <v>Friday</v>
      </c>
      <c r="D178" s="7">
        <f t="shared" si="17"/>
        <v>27</v>
      </c>
      <c r="E178" s="8" t="s">
        <v>21</v>
      </c>
      <c r="F178" s="9" t="s">
        <v>183</v>
      </c>
      <c r="G178" s="9"/>
    </row>
    <row r="179" ht="15.75" customHeight="1">
      <c r="A179" s="38">
        <v>45792.0</v>
      </c>
      <c r="B179" s="39">
        <v>45799.0</v>
      </c>
      <c r="C179" s="40" t="str">
        <f t="shared" si="16"/>
        <v>Thursday</v>
      </c>
      <c r="D179" s="41">
        <f t="shared" si="17"/>
        <v>7</v>
      </c>
      <c r="E179" s="46" t="s">
        <v>30</v>
      </c>
      <c r="F179" s="42" t="s">
        <v>184</v>
      </c>
      <c r="G179" s="43"/>
    </row>
    <row r="180" ht="15.75" customHeight="1">
      <c r="A180" s="30"/>
      <c r="B180" s="30"/>
      <c r="C180" s="31" t="str">
        <f t="shared" si="16"/>
        <v/>
      </c>
      <c r="D180" s="32" t="str">
        <f t="shared" si="17"/>
        <v/>
      </c>
      <c r="E180" s="33"/>
      <c r="F180" s="34" t="s">
        <v>185</v>
      </c>
      <c r="G180" s="34"/>
    </row>
    <row r="181" ht="15.75" customHeight="1">
      <c r="A181" s="30"/>
      <c r="B181" s="30"/>
      <c r="C181" s="31" t="str">
        <f t="shared" si="16"/>
        <v/>
      </c>
      <c r="D181" s="32" t="str">
        <f t="shared" si="17"/>
        <v/>
      </c>
      <c r="E181" s="33"/>
      <c r="F181" s="34" t="s">
        <v>184</v>
      </c>
      <c r="G181" s="34"/>
    </row>
    <row r="182" ht="15.75" customHeight="1">
      <c r="A182" s="36">
        <v>45792.0</v>
      </c>
      <c r="B182" s="36">
        <v>45820.0</v>
      </c>
      <c r="C182" s="37" t="str">
        <f t="shared" si="16"/>
        <v>Thursday</v>
      </c>
      <c r="D182" s="7">
        <f t="shared" si="17"/>
        <v>28</v>
      </c>
      <c r="E182" s="8" t="s">
        <v>21</v>
      </c>
      <c r="F182" s="9" t="s">
        <v>186</v>
      </c>
      <c r="G182" s="9" t="s">
        <v>187</v>
      </c>
    </row>
    <row r="183" ht="15.75" customHeight="1">
      <c r="A183" s="36"/>
      <c r="B183" s="36"/>
      <c r="C183" s="37" t="str">
        <f t="shared" si="16"/>
        <v/>
      </c>
      <c r="D183" s="7" t="str">
        <f t="shared" si="17"/>
        <v/>
      </c>
      <c r="E183" s="8" t="s">
        <v>21</v>
      </c>
      <c r="F183" s="9" t="s">
        <v>188</v>
      </c>
      <c r="G183" s="9"/>
    </row>
    <row r="184" ht="15.75" customHeight="1">
      <c r="A184" s="36"/>
      <c r="B184" s="36"/>
      <c r="C184" s="37" t="str">
        <f t="shared" si="16"/>
        <v/>
      </c>
      <c r="D184" s="7" t="str">
        <f t="shared" si="17"/>
        <v/>
      </c>
      <c r="E184" s="8" t="s">
        <v>21</v>
      </c>
      <c r="F184" s="9" t="s">
        <v>189</v>
      </c>
      <c r="G184" s="9"/>
    </row>
    <row r="185" ht="15.75" customHeight="1">
      <c r="A185" s="36"/>
      <c r="B185" s="36"/>
      <c r="C185" s="37" t="str">
        <f t="shared" si="16"/>
        <v/>
      </c>
      <c r="D185" s="7" t="str">
        <f t="shared" si="17"/>
        <v/>
      </c>
      <c r="E185" s="8" t="s">
        <v>21</v>
      </c>
      <c r="F185" s="9" t="s">
        <v>190</v>
      </c>
      <c r="G185" s="9"/>
    </row>
    <row r="186" ht="15.75" customHeight="1">
      <c r="A186" s="36"/>
      <c r="B186" s="36"/>
      <c r="C186" s="37" t="str">
        <f t="shared" si="16"/>
        <v/>
      </c>
      <c r="D186" s="7" t="str">
        <f t="shared" si="17"/>
        <v/>
      </c>
      <c r="E186" s="8" t="s">
        <v>21</v>
      </c>
      <c r="F186" s="9" t="s">
        <v>191</v>
      </c>
      <c r="G186" s="9"/>
    </row>
    <row r="187" ht="15.75" customHeight="1">
      <c r="A187" s="36"/>
      <c r="B187" s="36"/>
      <c r="C187" s="37" t="str">
        <f t="shared" si="16"/>
        <v/>
      </c>
      <c r="D187" s="7" t="str">
        <f t="shared" si="17"/>
        <v/>
      </c>
      <c r="E187" s="8" t="s">
        <v>21</v>
      </c>
      <c r="F187" s="9" t="s">
        <v>192</v>
      </c>
      <c r="G187" s="9"/>
    </row>
    <row r="188" ht="15.75" customHeight="1">
      <c r="A188" s="36"/>
      <c r="B188" s="36"/>
      <c r="C188" s="37" t="str">
        <f t="shared" si="16"/>
        <v/>
      </c>
      <c r="D188" s="7" t="str">
        <f t="shared" si="17"/>
        <v/>
      </c>
      <c r="E188" s="8" t="s">
        <v>21</v>
      </c>
      <c r="F188" s="9" t="s">
        <v>193</v>
      </c>
      <c r="G188" s="9"/>
    </row>
    <row r="189" ht="15.75" customHeight="1">
      <c r="A189" s="36"/>
      <c r="B189" s="36"/>
      <c r="C189" s="37" t="str">
        <f t="shared" si="16"/>
        <v/>
      </c>
      <c r="D189" s="7" t="str">
        <f t="shared" si="17"/>
        <v/>
      </c>
      <c r="E189" s="8" t="s">
        <v>21</v>
      </c>
      <c r="F189" s="9" t="s">
        <v>194</v>
      </c>
      <c r="G189" s="9"/>
    </row>
    <row r="190" ht="15.75" customHeight="1">
      <c r="A190" s="36"/>
      <c r="B190" s="36"/>
      <c r="C190" s="37" t="str">
        <f t="shared" si="16"/>
        <v/>
      </c>
      <c r="D190" s="7" t="str">
        <f t="shared" si="17"/>
        <v/>
      </c>
      <c r="E190" s="8" t="s">
        <v>21</v>
      </c>
      <c r="F190" s="9" t="s">
        <v>195</v>
      </c>
      <c r="G190" s="9"/>
    </row>
    <row r="191" ht="15.75" customHeight="1">
      <c r="A191" s="36"/>
      <c r="B191" s="36"/>
      <c r="C191" s="37" t="str">
        <f t="shared" si="16"/>
        <v/>
      </c>
      <c r="D191" s="7" t="str">
        <f t="shared" si="17"/>
        <v/>
      </c>
      <c r="E191" s="8" t="s">
        <v>21</v>
      </c>
      <c r="F191" s="9" t="s">
        <v>196</v>
      </c>
      <c r="G191" s="9"/>
    </row>
    <row r="192" ht="15.75" customHeight="1">
      <c r="A192" s="36"/>
      <c r="B192" s="36"/>
      <c r="C192" s="37" t="str">
        <f t="shared" si="16"/>
        <v/>
      </c>
      <c r="D192" s="7" t="str">
        <f t="shared" si="17"/>
        <v/>
      </c>
      <c r="E192" s="8" t="s">
        <v>21</v>
      </c>
      <c r="F192" s="9" t="s">
        <v>197</v>
      </c>
      <c r="G192" s="9"/>
    </row>
    <row r="193" ht="15.75" customHeight="1">
      <c r="A193" s="36"/>
      <c r="B193" s="36"/>
      <c r="C193" s="37" t="str">
        <f t="shared" si="16"/>
        <v/>
      </c>
      <c r="D193" s="7" t="str">
        <f t="shared" si="17"/>
        <v/>
      </c>
      <c r="E193" s="8" t="s">
        <v>21</v>
      </c>
      <c r="F193" s="9" t="s">
        <v>198</v>
      </c>
      <c r="G193" s="9"/>
    </row>
    <row r="194" ht="15.75" customHeight="1">
      <c r="A194" s="38">
        <v>45785.0</v>
      </c>
      <c r="B194" s="39">
        <v>45792.0</v>
      </c>
      <c r="C194" s="40" t="str">
        <f t="shared" si="16"/>
        <v>Thursday</v>
      </c>
      <c r="D194" s="41">
        <f t="shared" si="17"/>
        <v>7</v>
      </c>
      <c r="E194" s="46" t="s">
        <v>30</v>
      </c>
      <c r="F194" s="42" t="s">
        <v>199</v>
      </c>
      <c r="G194" s="43"/>
    </row>
    <row r="195" ht="15.75" customHeight="1">
      <c r="A195" s="36"/>
      <c r="B195" s="36"/>
      <c r="C195" s="37" t="str">
        <f t="shared" si="16"/>
        <v/>
      </c>
      <c r="D195" s="7" t="str">
        <f t="shared" si="17"/>
        <v/>
      </c>
      <c r="E195" s="8"/>
      <c r="F195" s="9" t="s">
        <v>200</v>
      </c>
      <c r="G195" s="9"/>
    </row>
    <row r="196" ht="15.75" customHeight="1">
      <c r="A196" s="36"/>
      <c r="B196" s="36"/>
      <c r="C196" s="37" t="str">
        <f t="shared" si="16"/>
        <v/>
      </c>
      <c r="D196" s="7" t="str">
        <f t="shared" si="17"/>
        <v/>
      </c>
      <c r="E196" s="8"/>
      <c r="F196" s="9" t="s">
        <v>201</v>
      </c>
      <c r="G196" s="9"/>
    </row>
    <row r="197" ht="15.75" customHeight="1">
      <c r="A197" s="36">
        <v>45781.0</v>
      </c>
      <c r="B197" s="36">
        <v>45782.0</v>
      </c>
      <c r="C197" s="37" t="str">
        <f t="shared" si="16"/>
        <v>Sunday</v>
      </c>
      <c r="D197" s="7">
        <f t="shared" si="17"/>
        <v>1</v>
      </c>
      <c r="E197" s="8" t="s">
        <v>24</v>
      </c>
      <c r="F197" s="9" t="s">
        <v>202</v>
      </c>
      <c r="G197" s="9" t="s">
        <v>203</v>
      </c>
    </row>
    <row r="198" ht="15.75" customHeight="1">
      <c r="A198" s="38">
        <v>45778.0</v>
      </c>
      <c r="B198" s="39">
        <v>45785.0</v>
      </c>
      <c r="C198" s="40" t="str">
        <f t="shared" si="16"/>
        <v>Thursday</v>
      </c>
      <c r="D198" s="41">
        <f t="shared" si="17"/>
        <v>7</v>
      </c>
      <c r="E198" s="46" t="s">
        <v>30</v>
      </c>
      <c r="F198" s="42" t="s">
        <v>204</v>
      </c>
      <c r="G198" s="43"/>
    </row>
    <row r="199" ht="15.75" customHeight="1">
      <c r="A199" s="36"/>
      <c r="B199" s="36"/>
      <c r="C199" s="37" t="str">
        <f t="shared" si="16"/>
        <v/>
      </c>
      <c r="D199" s="7" t="str">
        <f t="shared" si="17"/>
        <v/>
      </c>
      <c r="E199" s="8"/>
      <c r="F199" s="9" t="s">
        <v>204</v>
      </c>
      <c r="G199" s="9"/>
    </row>
    <row r="200" ht="15.75" customHeight="1">
      <c r="A200" s="38">
        <v>45771.0</v>
      </c>
      <c r="B200" s="39">
        <v>45778.0</v>
      </c>
      <c r="C200" s="40" t="str">
        <f t="shared" si="16"/>
        <v>Thursday</v>
      </c>
      <c r="D200" s="41">
        <f t="shared" si="17"/>
        <v>7</v>
      </c>
      <c r="E200" s="46" t="s">
        <v>30</v>
      </c>
      <c r="F200" s="42" t="s">
        <v>205</v>
      </c>
      <c r="G200" s="43"/>
    </row>
    <row r="201" ht="15.75" customHeight="1">
      <c r="A201" s="38"/>
      <c r="B201" s="39"/>
      <c r="C201" s="40" t="str">
        <f t="shared" si="16"/>
        <v/>
      </c>
      <c r="D201" s="41" t="str">
        <f t="shared" si="17"/>
        <v/>
      </c>
      <c r="E201" s="46" t="s">
        <v>30</v>
      </c>
      <c r="F201" s="42" t="s">
        <v>206</v>
      </c>
      <c r="G201" s="43"/>
    </row>
    <row r="202" ht="15.75" customHeight="1">
      <c r="A202" s="36"/>
      <c r="B202" s="36"/>
      <c r="C202" s="37" t="str">
        <f t="shared" si="16"/>
        <v/>
      </c>
      <c r="D202" s="7" t="str">
        <f t="shared" si="17"/>
        <v/>
      </c>
      <c r="E202" s="8" t="s">
        <v>5</v>
      </c>
      <c r="F202" s="9" t="s">
        <v>207</v>
      </c>
      <c r="G202" s="9" t="s">
        <v>69</v>
      </c>
    </row>
    <row r="203" ht="15.75" customHeight="1">
      <c r="A203" s="36"/>
      <c r="B203" s="36"/>
      <c r="C203" s="37" t="str">
        <f t="shared" si="16"/>
        <v/>
      </c>
      <c r="D203" s="7" t="str">
        <f t="shared" si="17"/>
        <v/>
      </c>
      <c r="E203" s="8"/>
      <c r="F203" s="9" t="s">
        <v>205</v>
      </c>
      <c r="G203" s="9"/>
    </row>
    <row r="204" ht="15.75" customHeight="1">
      <c r="A204" s="38">
        <v>45764.0</v>
      </c>
      <c r="B204" s="39">
        <v>45771.0</v>
      </c>
      <c r="C204" s="40" t="str">
        <f t="shared" si="16"/>
        <v>Thursday</v>
      </c>
      <c r="D204" s="41">
        <f t="shared" si="17"/>
        <v>7</v>
      </c>
      <c r="E204" s="46" t="s">
        <v>30</v>
      </c>
      <c r="F204" s="42" t="s">
        <v>208</v>
      </c>
      <c r="G204" s="43"/>
    </row>
    <row r="205" ht="15.75" customHeight="1">
      <c r="A205" s="38"/>
      <c r="B205" s="39"/>
      <c r="C205" s="40" t="str">
        <f t="shared" si="16"/>
        <v/>
      </c>
      <c r="D205" s="41" t="str">
        <f t="shared" si="17"/>
        <v/>
      </c>
      <c r="E205" s="46" t="s">
        <v>33</v>
      </c>
      <c r="F205" s="42" t="s">
        <v>139</v>
      </c>
      <c r="G205" s="42" t="s">
        <v>69</v>
      </c>
    </row>
    <row r="206" ht="15.75" customHeight="1">
      <c r="A206" s="36"/>
      <c r="B206" s="36"/>
      <c r="C206" s="37" t="str">
        <f t="shared" si="16"/>
        <v/>
      </c>
      <c r="D206" s="7" t="str">
        <f t="shared" si="17"/>
        <v/>
      </c>
      <c r="E206" s="8"/>
      <c r="F206" s="9" t="s">
        <v>208</v>
      </c>
      <c r="G206" s="9"/>
    </row>
    <row r="207" ht="15.75" customHeight="1">
      <c r="A207" s="36"/>
      <c r="B207" s="36"/>
      <c r="C207" s="37" t="str">
        <f t="shared" si="16"/>
        <v/>
      </c>
      <c r="D207" s="7" t="str">
        <f t="shared" si="17"/>
        <v/>
      </c>
      <c r="E207" s="8" t="s">
        <v>5</v>
      </c>
      <c r="F207" s="9" t="s">
        <v>139</v>
      </c>
      <c r="G207" s="9" t="s">
        <v>69</v>
      </c>
    </row>
    <row r="208" ht="15.75" customHeight="1">
      <c r="A208" s="39">
        <v>45757.0</v>
      </c>
      <c r="B208" s="39">
        <v>45764.0</v>
      </c>
      <c r="C208" s="40" t="str">
        <f t="shared" si="16"/>
        <v>Thursday</v>
      </c>
      <c r="D208" s="41">
        <f t="shared" si="17"/>
        <v>7</v>
      </c>
      <c r="E208" s="46" t="s">
        <v>30</v>
      </c>
      <c r="F208" s="42" t="s">
        <v>209</v>
      </c>
      <c r="G208" s="43"/>
    </row>
    <row r="209" ht="15.75" customHeight="1">
      <c r="A209" s="36"/>
      <c r="B209" s="36"/>
      <c r="C209" s="37" t="str">
        <f t="shared" si="16"/>
        <v/>
      </c>
      <c r="D209" s="7" t="str">
        <f t="shared" si="17"/>
        <v/>
      </c>
      <c r="E209" s="8" t="s">
        <v>5</v>
      </c>
      <c r="F209" s="9" t="s">
        <v>210</v>
      </c>
      <c r="G209" s="9" t="s">
        <v>69</v>
      </c>
    </row>
    <row r="210" ht="15.75" customHeight="1">
      <c r="A210" s="36"/>
      <c r="B210" s="36"/>
      <c r="C210" s="37" t="str">
        <f t="shared" si="16"/>
        <v/>
      </c>
      <c r="D210" s="7" t="str">
        <f t="shared" si="17"/>
        <v/>
      </c>
      <c r="E210" s="8" t="s">
        <v>5</v>
      </c>
      <c r="F210" s="9" t="s">
        <v>211</v>
      </c>
      <c r="G210" s="9" t="s">
        <v>69</v>
      </c>
    </row>
    <row r="211" ht="15.75" customHeight="1">
      <c r="A211" s="36"/>
      <c r="B211" s="36"/>
      <c r="C211" s="37" t="str">
        <f t="shared" si="16"/>
        <v/>
      </c>
      <c r="D211" s="7" t="str">
        <f t="shared" si="17"/>
        <v/>
      </c>
      <c r="E211" s="8"/>
      <c r="F211" s="9" t="s">
        <v>212</v>
      </c>
      <c r="G211" s="9"/>
    </row>
    <row r="212" ht="15.75" customHeight="1">
      <c r="A212" s="39">
        <v>45750.0</v>
      </c>
      <c r="B212" s="39">
        <v>45757.0</v>
      </c>
      <c r="C212" s="40" t="str">
        <f t="shared" si="16"/>
        <v>Thursday</v>
      </c>
      <c r="D212" s="41">
        <f t="shared" si="17"/>
        <v>7</v>
      </c>
      <c r="E212" s="46" t="s">
        <v>30</v>
      </c>
      <c r="F212" s="42" t="s">
        <v>213</v>
      </c>
      <c r="G212" s="43"/>
    </row>
    <row r="213" ht="15.75" customHeight="1">
      <c r="A213" s="30"/>
      <c r="B213" s="30"/>
      <c r="C213" s="31" t="str">
        <f t="shared" si="16"/>
        <v/>
      </c>
      <c r="D213" s="32" t="str">
        <f t="shared" si="17"/>
        <v/>
      </c>
      <c r="E213" s="33" t="s">
        <v>9</v>
      </c>
      <c r="F213" s="34" t="s">
        <v>214</v>
      </c>
      <c r="G213" s="34"/>
    </row>
    <row r="214" ht="15.75" customHeight="1">
      <c r="A214" s="39">
        <v>45743.0</v>
      </c>
      <c r="B214" s="39">
        <v>45750.0</v>
      </c>
      <c r="C214" s="40" t="str">
        <f t="shared" si="16"/>
        <v>Thursday</v>
      </c>
      <c r="D214" s="41">
        <f t="shared" si="17"/>
        <v>7</v>
      </c>
      <c r="E214" s="46" t="s">
        <v>30</v>
      </c>
      <c r="F214" s="42" t="s">
        <v>215</v>
      </c>
      <c r="G214" s="43"/>
    </row>
    <row r="215" ht="15.75" customHeight="1">
      <c r="A215" s="39"/>
      <c r="B215" s="39"/>
      <c r="C215" s="40" t="str">
        <f t="shared" si="16"/>
        <v/>
      </c>
      <c r="D215" s="41" t="str">
        <f t="shared" si="17"/>
        <v/>
      </c>
      <c r="E215" s="46" t="s">
        <v>30</v>
      </c>
      <c r="F215" s="42" t="s">
        <v>216</v>
      </c>
      <c r="G215" s="43"/>
    </row>
    <row r="216" ht="15.75" customHeight="1">
      <c r="A216" s="30"/>
      <c r="B216" s="30"/>
      <c r="C216" s="31" t="str">
        <f t="shared" si="16"/>
        <v/>
      </c>
      <c r="D216" s="32" t="str">
        <f t="shared" si="17"/>
        <v/>
      </c>
      <c r="E216" s="33" t="s">
        <v>9</v>
      </c>
      <c r="F216" s="34" t="s">
        <v>217</v>
      </c>
      <c r="G216" s="34" t="s">
        <v>218</v>
      </c>
    </row>
    <row r="217" ht="15.75" customHeight="1">
      <c r="A217" s="30"/>
      <c r="B217" s="30"/>
      <c r="C217" s="31" t="str">
        <f t="shared" si="16"/>
        <v/>
      </c>
      <c r="D217" s="32" t="str">
        <f t="shared" si="17"/>
        <v/>
      </c>
      <c r="E217" s="33"/>
      <c r="F217" s="34" t="s">
        <v>219</v>
      </c>
      <c r="G217" s="34"/>
    </row>
    <row r="218" ht="15.75" customHeight="1">
      <c r="A218" s="49">
        <v>45737.0</v>
      </c>
      <c r="B218" s="49">
        <v>45756.0</v>
      </c>
      <c r="C218" s="50" t="str">
        <f t="shared" si="16"/>
        <v>Friday</v>
      </c>
      <c r="D218" s="12">
        <f t="shared" si="17"/>
        <v>19</v>
      </c>
      <c r="E218" s="13" t="s">
        <v>21</v>
      </c>
      <c r="F218" s="14" t="s">
        <v>220</v>
      </c>
      <c r="G218" s="14" t="s">
        <v>221</v>
      </c>
    </row>
    <row r="219" ht="15.75" customHeight="1">
      <c r="A219" s="51">
        <v>45736.0</v>
      </c>
      <c r="B219" s="51">
        <v>45764.0</v>
      </c>
      <c r="C219" s="52" t="str">
        <f t="shared" si="16"/>
        <v>Thursday</v>
      </c>
      <c r="D219" s="17">
        <f t="shared" si="17"/>
        <v>28</v>
      </c>
      <c r="E219" s="46" t="s">
        <v>30</v>
      </c>
      <c r="F219" s="19" t="s">
        <v>141</v>
      </c>
      <c r="G219" s="19"/>
    </row>
    <row r="220" ht="15.75" customHeight="1">
      <c r="A220" s="51"/>
      <c r="B220" s="51"/>
      <c r="C220" s="52" t="str">
        <f t="shared" si="16"/>
        <v/>
      </c>
      <c r="D220" s="17" t="str">
        <f t="shared" si="17"/>
        <v/>
      </c>
      <c r="E220" s="46" t="s">
        <v>30</v>
      </c>
      <c r="F220" s="19" t="s">
        <v>222</v>
      </c>
      <c r="G220" s="19"/>
    </row>
    <row r="221" ht="15.75" customHeight="1">
      <c r="A221" s="36">
        <v>45736.0</v>
      </c>
      <c r="B221" s="36">
        <v>45743.0</v>
      </c>
      <c r="C221" s="37" t="str">
        <f t="shared" si="16"/>
        <v>Thursday</v>
      </c>
      <c r="D221" s="7">
        <f t="shared" si="17"/>
        <v>7</v>
      </c>
      <c r="E221" s="8"/>
      <c r="F221" s="9" t="s">
        <v>223</v>
      </c>
      <c r="G221" s="9"/>
    </row>
    <row r="222" ht="15.75" customHeight="1">
      <c r="A222" s="36">
        <v>45729.0</v>
      </c>
      <c r="B222" s="36">
        <v>45736.0</v>
      </c>
      <c r="C222" s="37" t="str">
        <f t="shared" si="16"/>
        <v>Thursday</v>
      </c>
      <c r="D222" s="7">
        <f t="shared" si="17"/>
        <v>7</v>
      </c>
      <c r="E222" s="8" t="s">
        <v>9</v>
      </c>
      <c r="F222" s="9" t="s">
        <v>224</v>
      </c>
      <c r="G222" s="9"/>
    </row>
    <row r="223" ht="15.75" customHeight="1">
      <c r="A223" s="36"/>
      <c r="B223" s="36"/>
      <c r="C223" s="37" t="str">
        <f t="shared" si="16"/>
        <v/>
      </c>
      <c r="D223" s="7" t="str">
        <f t="shared" si="17"/>
        <v/>
      </c>
      <c r="E223" s="8" t="s">
        <v>5</v>
      </c>
      <c r="F223" s="9" t="s">
        <v>225</v>
      </c>
      <c r="G223" s="9"/>
    </row>
    <row r="224" ht="15.75" customHeight="1">
      <c r="A224" s="36">
        <v>45722.0</v>
      </c>
      <c r="B224" s="36">
        <v>45729.0</v>
      </c>
      <c r="C224" s="37" t="str">
        <f t="shared" si="16"/>
        <v>Thursday</v>
      </c>
      <c r="D224" s="7">
        <f t="shared" si="17"/>
        <v>7</v>
      </c>
      <c r="E224" s="8" t="s">
        <v>9</v>
      </c>
      <c r="F224" s="9" t="s">
        <v>226</v>
      </c>
      <c r="G224" s="9"/>
    </row>
    <row r="225" ht="15.75" customHeight="1">
      <c r="A225" s="36">
        <v>45715.0</v>
      </c>
      <c r="B225" s="36">
        <v>45722.0</v>
      </c>
      <c r="C225" s="37" t="str">
        <f t="shared" si="16"/>
        <v>Thursday</v>
      </c>
      <c r="D225" s="7">
        <f t="shared" si="17"/>
        <v>7</v>
      </c>
      <c r="E225" s="8" t="s">
        <v>9</v>
      </c>
      <c r="F225" s="9" t="s">
        <v>227</v>
      </c>
      <c r="G225" s="9"/>
    </row>
    <row r="226" ht="15.75" customHeight="1">
      <c r="A226" s="51">
        <v>45708.0</v>
      </c>
      <c r="B226" s="51">
        <v>45736.0</v>
      </c>
      <c r="C226" s="52" t="str">
        <f t="shared" si="16"/>
        <v>Thursday</v>
      </c>
      <c r="D226" s="17">
        <f t="shared" si="17"/>
        <v>28</v>
      </c>
      <c r="E226" s="46" t="s">
        <v>30</v>
      </c>
      <c r="F226" s="19" t="s">
        <v>228</v>
      </c>
      <c r="G226" s="19"/>
    </row>
    <row r="227" ht="15.75" customHeight="1">
      <c r="A227" s="51"/>
      <c r="B227" s="51"/>
      <c r="C227" s="52" t="str">
        <f t="shared" si="16"/>
        <v/>
      </c>
      <c r="D227" s="17" t="str">
        <f t="shared" si="17"/>
        <v/>
      </c>
      <c r="E227" s="46" t="s">
        <v>30</v>
      </c>
      <c r="F227" s="19" t="s">
        <v>229</v>
      </c>
      <c r="G227" s="19"/>
    </row>
    <row r="228" ht="15.75" customHeight="1">
      <c r="A228" s="36">
        <v>45708.0</v>
      </c>
      <c r="B228" s="36">
        <v>45715.0</v>
      </c>
      <c r="C228" s="37" t="str">
        <f t="shared" si="16"/>
        <v>Thursday</v>
      </c>
      <c r="D228" s="7">
        <f t="shared" si="17"/>
        <v>7</v>
      </c>
      <c r="E228" s="8"/>
      <c r="F228" s="9" t="s">
        <v>230</v>
      </c>
      <c r="G228" s="9"/>
    </row>
    <row r="229" ht="15.75" customHeight="1">
      <c r="A229" s="36"/>
      <c r="B229" s="36"/>
      <c r="C229" s="37" t="str">
        <f t="shared" si="16"/>
        <v/>
      </c>
      <c r="D229" s="7" t="str">
        <f t="shared" si="17"/>
        <v/>
      </c>
      <c r="E229" s="8"/>
      <c r="F229" s="9" t="s">
        <v>231</v>
      </c>
      <c r="G229" s="9" t="s">
        <v>232</v>
      </c>
    </row>
    <row r="230" ht="15.75" customHeight="1">
      <c r="A230" s="36">
        <v>45701.0</v>
      </c>
      <c r="B230" s="36">
        <v>45708.0</v>
      </c>
      <c r="C230" s="37" t="str">
        <f t="shared" si="16"/>
        <v>Thursday</v>
      </c>
      <c r="D230" s="7">
        <f t="shared" si="17"/>
        <v>7</v>
      </c>
      <c r="E230" s="8" t="s">
        <v>5</v>
      </c>
      <c r="F230" s="9" t="s">
        <v>233</v>
      </c>
      <c r="G230" s="9"/>
    </row>
    <row r="231" ht="15.75" customHeight="1">
      <c r="A231" s="36"/>
      <c r="B231" s="36"/>
      <c r="C231" s="37" t="str">
        <f t="shared" si="16"/>
        <v/>
      </c>
      <c r="D231" s="7" t="str">
        <f t="shared" si="17"/>
        <v/>
      </c>
      <c r="E231" s="8"/>
      <c r="F231" s="9" t="s">
        <v>234</v>
      </c>
      <c r="G231" s="9"/>
    </row>
    <row r="232" ht="15.75" customHeight="1">
      <c r="A232" s="36">
        <v>45694.0</v>
      </c>
      <c r="B232" s="36">
        <v>45701.0</v>
      </c>
      <c r="C232" s="37" t="str">
        <f t="shared" si="16"/>
        <v>Thursday</v>
      </c>
      <c r="D232" s="7">
        <f t="shared" si="17"/>
        <v>7</v>
      </c>
      <c r="E232" s="8" t="s">
        <v>9</v>
      </c>
      <c r="F232" s="9" t="s">
        <v>235</v>
      </c>
      <c r="G232" s="9"/>
    </row>
    <row r="233" ht="15.75" customHeight="1">
      <c r="A233" s="36"/>
      <c r="B233" s="36"/>
      <c r="C233" s="37" t="str">
        <f t="shared" si="16"/>
        <v/>
      </c>
      <c r="D233" s="7" t="str">
        <f t="shared" si="17"/>
        <v/>
      </c>
      <c r="E233" s="8"/>
      <c r="F233" s="9" t="s">
        <v>236</v>
      </c>
      <c r="G233" s="9"/>
    </row>
    <row r="234" ht="15.75" customHeight="1">
      <c r="A234" s="36">
        <v>45687.0</v>
      </c>
      <c r="B234" s="36">
        <v>45694.0</v>
      </c>
      <c r="C234" s="37" t="str">
        <f t="shared" si="16"/>
        <v>Thursday</v>
      </c>
      <c r="D234" s="7">
        <f t="shared" si="17"/>
        <v>7</v>
      </c>
      <c r="E234" s="8"/>
      <c r="F234" s="9" t="s">
        <v>237</v>
      </c>
      <c r="G234" s="9"/>
    </row>
    <row r="235" ht="15.75" customHeight="1">
      <c r="A235" s="49">
        <v>45684.0</v>
      </c>
      <c r="B235" s="49">
        <v>45698.0</v>
      </c>
      <c r="C235" s="50" t="str">
        <f t="shared" si="16"/>
        <v>Monday</v>
      </c>
      <c r="D235" s="12">
        <f t="shared" si="17"/>
        <v>14</v>
      </c>
      <c r="E235" s="13" t="s">
        <v>21</v>
      </c>
      <c r="F235" s="14" t="s">
        <v>238</v>
      </c>
      <c r="G235" s="14"/>
    </row>
    <row r="236" ht="15.75" customHeight="1">
      <c r="A236" s="51">
        <v>45681.0</v>
      </c>
      <c r="B236" s="51">
        <v>45708.0</v>
      </c>
      <c r="C236" s="52" t="str">
        <f t="shared" si="16"/>
        <v>Friday</v>
      </c>
      <c r="D236" s="17">
        <f t="shared" si="17"/>
        <v>27</v>
      </c>
      <c r="E236" s="46" t="s">
        <v>30</v>
      </c>
      <c r="F236" s="19" t="s">
        <v>90</v>
      </c>
      <c r="G236" s="19"/>
    </row>
    <row r="237" ht="15.75" customHeight="1">
      <c r="A237" s="51"/>
      <c r="B237" s="51"/>
      <c r="C237" s="52" t="str">
        <f t="shared" si="16"/>
        <v/>
      </c>
      <c r="D237" s="17" t="str">
        <f t="shared" si="17"/>
        <v/>
      </c>
      <c r="E237" s="46" t="s">
        <v>30</v>
      </c>
      <c r="F237" s="19" t="s">
        <v>239</v>
      </c>
      <c r="G237" s="19"/>
    </row>
    <row r="238" ht="15.75" customHeight="1">
      <c r="A238" s="36">
        <v>45680.0</v>
      </c>
      <c r="B238" s="36">
        <v>45687.0</v>
      </c>
      <c r="C238" s="37" t="str">
        <f t="shared" si="16"/>
        <v>Thursday</v>
      </c>
      <c r="D238" s="7">
        <f t="shared" si="17"/>
        <v>7</v>
      </c>
      <c r="E238" s="8"/>
      <c r="F238" s="9" t="s">
        <v>240</v>
      </c>
      <c r="G238" s="9"/>
    </row>
    <row r="239" ht="15.75" customHeight="1">
      <c r="A239" s="36">
        <v>45673.0</v>
      </c>
      <c r="B239" s="36">
        <v>45680.0</v>
      </c>
      <c r="C239" s="37" t="str">
        <f t="shared" si="16"/>
        <v>Thursday</v>
      </c>
      <c r="D239" s="7">
        <f t="shared" si="17"/>
        <v>7</v>
      </c>
      <c r="E239" s="8" t="s">
        <v>9</v>
      </c>
      <c r="F239" s="9" t="s">
        <v>241</v>
      </c>
      <c r="G239" s="9"/>
    </row>
    <row r="240" ht="15.75" customHeight="1">
      <c r="A240" s="36">
        <v>45666.0</v>
      </c>
      <c r="B240" s="36">
        <v>45673.0</v>
      </c>
      <c r="C240" s="37" t="str">
        <f t="shared" si="16"/>
        <v>Thursday</v>
      </c>
      <c r="D240" s="7">
        <f t="shared" si="17"/>
        <v>7</v>
      </c>
      <c r="E240" s="8"/>
      <c r="F240" s="9" t="s">
        <v>242</v>
      </c>
      <c r="G240" s="9"/>
    </row>
    <row r="241" ht="15.75" customHeight="1">
      <c r="A241" s="30">
        <v>45659.0</v>
      </c>
      <c r="B241" s="30">
        <v>45666.0</v>
      </c>
      <c r="C241" s="31" t="str">
        <f t="shared" si="16"/>
        <v>Thursday</v>
      </c>
      <c r="D241" s="32">
        <f t="shared" si="17"/>
        <v>7</v>
      </c>
      <c r="E241" s="33"/>
      <c r="F241" s="34" t="s">
        <v>243</v>
      </c>
      <c r="G241" s="32"/>
    </row>
    <row r="242" ht="15.75" customHeight="1">
      <c r="A242" s="30">
        <v>45658.0</v>
      </c>
      <c r="B242" s="30">
        <v>45659.0</v>
      </c>
      <c r="C242" s="31" t="str">
        <f t="shared" si="16"/>
        <v>Wednesday</v>
      </c>
      <c r="D242" s="32">
        <f t="shared" si="17"/>
        <v>1</v>
      </c>
      <c r="E242" s="33" t="s">
        <v>9</v>
      </c>
      <c r="F242" s="34" t="s">
        <v>244</v>
      </c>
      <c r="G242" s="32"/>
    </row>
    <row r="243" ht="15.75" customHeight="1">
      <c r="A243" s="30">
        <v>45657.0</v>
      </c>
      <c r="B243" s="30">
        <v>45658.0</v>
      </c>
      <c r="C243" s="31" t="str">
        <f t="shared" si="16"/>
        <v>Tuesday</v>
      </c>
      <c r="D243" s="32">
        <f t="shared" si="17"/>
        <v>1</v>
      </c>
      <c r="E243" s="33"/>
      <c r="F243" s="34" t="s">
        <v>245</v>
      </c>
      <c r="G243" s="32"/>
    </row>
    <row r="244" ht="15.75" customHeight="1">
      <c r="A244" s="30">
        <v>45656.0</v>
      </c>
      <c r="B244" s="30">
        <v>45657.0</v>
      </c>
      <c r="C244" s="31" t="str">
        <f t="shared" si="16"/>
        <v>Monday</v>
      </c>
      <c r="D244" s="32">
        <f t="shared" si="17"/>
        <v>1</v>
      </c>
      <c r="E244" s="33"/>
      <c r="F244" s="34" t="s">
        <v>246</v>
      </c>
      <c r="G244" s="32"/>
    </row>
    <row r="245" ht="15.75" customHeight="1">
      <c r="A245" s="30">
        <v>45655.0</v>
      </c>
      <c r="B245" s="30">
        <v>45656.0</v>
      </c>
      <c r="C245" s="31" t="str">
        <f t="shared" si="16"/>
        <v>Sunday</v>
      </c>
      <c r="D245" s="32">
        <f t="shared" si="17"/>
        <v>1</v>
      </c>
      <c r="E245" s="33" t="s">
        <v>9</v>
      </c>
      <c r="F245" s="34" t="s">
        <v>247</v>
      </c>
      <c r="G245" s="32"/>
    </row>
    <row r="246" ht="15.75" customHeight="1">
      <c r="A246" s="30">
        <v>45654.0</v>
      </c>
      <c r="B246" s="30">
        <v>45655.0</v>
      </c>
      <c r="C246" s="31" t="str">
        <f t="shared" si="16"/>
        <v>Saturday</v>
      </c>
      <c r="D246" s="32">
        <f t="shared" si="17"/>
        <v>1</v>
      </c>
      <c r="E246" s="33"/>
      <c r="F246" s="34" t="s">
        <v>248</v>
      </c>
      <c r="G246" s="32"/>
    </row>
    <row r="247" ht="15.75" customHeight="1">
      <c r="A247" s="30">
        <v>45653.0</v>
      </c>
      <c r="B247" s="30">
        <v>45654.0</v>
      </c>
      <c r="C247" s="31" t="str">
        <f t="shared" si="16"/>
        <v>Friday</v>
      </c>
      <c r="D247" s="32">
        <f t="shared" si="17"/>
        <v>1</v>
      </c>
      <c r="E247" s="33"/>
      <c r="F247" s="34" t="s">
        <v>249</v>
      </c>
      <c r="G247" s="32"/>
    </row>
    <row r="248" ht="15.75" customHeight="1">
      <c r="A248" s="30">
        <v>45652.0</v>
      </c>
      <c r="B248" s="30">
        <v>45653.0</v>
      </c>
      <c r="C248" s="31" t="str">
        <f t="shared" si="16"/>
        <v>Thursday</v>
      </c>
      <c r="D248" s="32">
        <f t="shared" si="17"/>
        <v>1</v>
      </c>
      <c r="E248" s="33"/>
      <c r="F248" s="34" t="s">
        <v>148</v>
      </c>
      <c r="G248" s="32"/>
    </row>
    <row r="249" ht="15.75" customHeight="1">
      <c r="A249" s="30">
        <v>45651.0</v>
      </c>
      <c r="B249" s="30">
        <v>45652.0</v>
      </c>
      <c r="C249" s="31" t="str">
        <f t="shared" si="16"/>
        <v>Wednesday</v>
      </c>
      <c r="D249" s="32">
        <f t="shared" si="17"/>
        <v>1</v>
      </c>
      <c r="E249" s="33" t="s">
        <v>9</v>
      </c>
      <c r="F249" s="34" t="s">
        <v>250</v>
      </c>
      <c r="G249" s="32"/>
    </row>
    <row r="250" ht="15.75" customHeight="1">
      <c r="A250" s="30">
        <v>45650.0</v>
      </c>
      <c r="B250" s="30">
        <v>45651.0</v>
      </c>
      <c r="C250" s="31" t="str">
        <f t="shared" si="16"/>
        <v>Tuesday</v>
      </c>
      <c r="D250" s="32">
        <f t="shared" si="17"/>
        <v>1</v>
      </c>
      <c r="E250" s="33"/>
      <c r="F250" s="34" t="s">
        <v>251</v>
      </c>
      <c r="G250" s="32"/>
    </row>
    <row r="251" ht="15.75" customHeight="1">
      <c r="A251" s="30">
        <v>45649.0</v>
      </c>
      <c r="B251" s="30">
        <v>45650.0</v>
      </c>
      <c r="C251" s="31" t="str">
        <f t="shared" si="16"/>
        <v>Monday</v>
      </c>
      <c r="D251" s="32">
        <f t="shared" si="17"/>
        <v>1</v>
      </c>
      <c r="E251" s="33" t="s">
        <v>5</v>
      </c>
      <c r="F251" s="34" t="s">
        <v>252</v>
      </c>
      <c r="G251" s="32"/>
    </row>
    <row r="252" ht="15.75" customHeight="1">
      <c r="A252" s="30">
        <v>45648.0</v>
      </c>
      <c r="B252" s="30">
        <v>45649.0</v>
      </c>
      <c r="C252" s="31" t="str">
        <f t="shared" si="16"/>
        <v>Sunday</v>
      </c>
      <c r="D252" s="32">
        <f t="shared" si="17"/>
        <v>1</v>
      </c>
      <c r="E252" s="33"/>
      <c r="F252" s="34" t="s">
        <v>253</v>
      </c>
      <c r="G252" s="32"/>
    </row>
    <row r="253" ht="15.75" customHeight="1">
      <c r="A253" s="30">
        <v>45647.0</v>
      </c>
      <c r="B253" s="30">
        <v>45648.0</v>
      </c>
      <c r="C253" s="31" t="str">
        <f t="shared" si="16"/>
        <v>Saturday</v>
      </c>
      <c r="D253" s="32">
        <f t="shared" si="17"/>
        <v>1</v>
      </c>
      <c r="E253" s="33"/>
      <c r="F253" s="34" t="s">
        <v>254</v>
      </c>
      <c r="G253" s="32"/>
    </row>
    <row r="254" ht="15.75" customHeight="1">
      <c r="A254" s="30">
        <v>45646.0</v>
      </c>
      <c r="B254" s="30">
        <v>45647.0</v>
      </c>
      <c r="C254" s="31" t="str">
        <f t="shared" si="16"/>
        <v>Friday</v>
      </c>
      <c r="D254" s="32">
        <f t="shared" si="17"/>
        <v>1</v>
      </c>
      <c r="E254" s="33"/>
      <c r="F254" s="34" t="s">
        <v>255</v>
      </c>
      <c r="G254" s="32"/>
    </row>
    <row r="255" ht="15.75" customHeight="1">
      <c r="A255" s="49">
        <v>45646.0</v>
      </c>
      <c r="B255" s="49">
        <v>45660.0</v>
      </c>
      <c r="C255" s="50" t="str">
        <f t="shared" si="16"/>
        <v>Friday</v>
      </c>
      <c r="D255" s="12">
        <f t="shared" si="17"/>
        <v>14</v>
      </c>
      <c r="E255" s="13" t="s">
        <v>21</v>
      </c>
      <c r="F255" s="14" t="s">
        <v>256</v>
      </c>
      <c r="G255" s="14" t="s">
        <v>257</v>
      </c>
    </row>
    <row r="256" ht="15.75" customHeight="1">
      <c r="A256" s="30">
        <v>45645.0</v>
      </c>
      <c r="B256" s="30">
        <v>45646.0</v>
      </c>
      <c r="C256" s="31" t="str">
        <f t="shared" si="16"/>
        <v>Thursday</v>
      </c>
      <c r="D256" s="32">
        <f t="shared" si="17"/>
        <v>1</v>
      </c>
      <c r="E256" s="33"/>
      <c r="F256" s="34" t="s">
        <v>258</v>
      </c>
      <c r="G256" s="32"/>
    </row>
    <row r="257" ht="15.75" customHeight="1">
      <c r="A257" s="30">
        <v>45638.0</v>
      </c>
      <c r="B257" s="30">
        <v>45645.0</v>
      </c>
      <c r="C257" s="31" t="str">
        <f t="shared" si="16"/>
        <v>Thursday</v>
      </c>
      <c r="D257" s="32">
        <f t="shared" si="17"/>
        <v>7</v>
      </c>
      <c r="E257" s="33"/>
      <c r="F257" s="34" t="s">
        <v>259</v>
      </c>
      <c r="G257" s="34"/>
    </row>
    <row r="258" ht="15.75" customHeight="1">
      <c r="A258" s="36">
        <v>45631.0</v>
      </c>
      <c r="B258" s="36">
        <v>45638.0</v>
      </c>
      <c r="C258" s="37" t="str">
        <f t="shared" si="16"/>
        <v>Thursday</v>
      </c>
      <c r="D258" s="7">
        <f t="shared" si="17"/>
        <v>7</v>
      </c>
      <c r="E258" s="8"/>
      <c r="F258" s="9" t="s">
        <v>260</v>
      </c>
      <c r="G258" s="9"/>
    </row>
    <row r="259" ht="15.75" customHeight="1">
      <c r="A259" s="36"/>
      <c r="B259" s="36"/>
      <c r="C259" s="37" t="str">
        <f t="shared" si="16"/>
        <v/>
      </c>
      <c r="D259" s="7" t="str">
        <f t="shared" si="17"/>
        <v/>
      </c>
      <c r="E259" s="8"/>
      <c r="F259" s="9" t="s">
        <v>202</v>
      </c>
      <c r="G259" s="9"/>
    </row>
    <row r="260" ht="15.75" customHeight="1">
      <c r="A260" s="36">
        <v>45624.0</v>
      </c>
      <c r="B260" s="36">
        <v>45631.0</v>
      </c>
      <c r="C260" s="37" t="str">
        <f t="shared" si="16"/>
        <v>Thursday</v>
      </c>
      <c r="D260" s="7">
        <f t="shared" si="17"/>
        <v>7</v>
      </c>
      <c r="E260" s="8"/>
      <c r="F260" s="9" t="s">
        <v>261</v>
      </c>
      <c r="G260" s="9"/>
    </row>
    <row r="261" ht="15.75" customHeight="1">
      <c r="A261" s="36">
        <v>45617.0</v>
      </c>
      <c r="B261" s="36">
        <v>45624.0</v>
      </c>
      <c r="C261" s="37" t="str">
        <f t="shared" si="16"/>
        <v>Thursday</v>
      </c>
      <c r="D261" s="7">
        <f t="shared" si="17"/>
        <v>7</v>
      </c>
      <c r="E261" s="8"/>
      <c r="F261" s="9" t="s">
        <v>262</v>
      </c>
      <c r="G261" s="9"/>
    </row>
    <row r="262" ht="15.75" customHeight="1">
      <c r="A262" s="36">
        <v>45610.0</v>
      </c>
      <c r="B262" s="36">
        <v>45617.0</v>
      </c>
      <c r="C262" s="37" t="str">
        <f t="shared" si="16"/>
        <v>Thursday</v>
      </c>
      <c r="D262" s="7">
        <f t="shared" si="17"/>
        <v>7</v>
      </c>
      <c r="E262" s="8"/>
      <c r="F262" s="9" t="s">
        <v>263</v>
      </c>
      <c r="G262" s="9"/>
    </row>
    <row r="263" ht="15.75" customHeight="1">
      <c r="A263" s="36"/>
      <c r="B263" s="36"/>
      <c r="C263" s="37" t="str">
        <f t="shared" si="16"/>
        <v/>
      </c>
      <c r="D263" s="7" t="str">
        <f t="shared" si="17"/>
        <v/>
      </c>
      <c r="E263" s="8" t="s">
        <v>9</v>
      </c>
      <c r="F263" s="9" t="s">
        <v>264</v>
      </c>
      <c r="G263" s="9"/>
    </row>
    <row r="264" ht="15.75" customHeight="1">
      <c r="A264" s="36">
        <v>45603.0</v>
      </c>
      <c r="B264" s="36">
        <v>45610.0</v>
      </c>
      <c r="C264" s="37" t="str">
        <f t="shared" si="16"/>
        <v>Thursday</v>
      </c>
      <c r="D264" s="7">
        <f t="shared" si="17"/>
        <v>7</v>
      </c>
      <c r="E264" s="8" t="s">
        <v>5</v>
      </c>
      <c r="F264" s="9" t="s">
        <v>265</v>
      </c>
      <c r="G264" s="9"/>
    </row>
    <row r="265" ht="15.75" customHeight="1">
      <c r="A265" s="36"/>
      <c r="B265" s="36"/>
      <c r="C265" s="37" t="str">
        <f t="shared" si="16"/>
        <v/>
      </c>
      <c r="D265" s="7" t="str">
        <f t="shared" si="17"/>
        <v/>
      </c>
      <c r="E265" s="8"/>
      <c r="F265" s="9" t="s">
        <v>266</v>
      </c>
      <c r="G265" s="9"/>
    </row>
    <row r="266" ht="15.75" customHeight="1">
      <c r="A266" s="36">
        <v>45596.0</v>
      </c>
      <c r="B266" s="36">
        <v>45603.0</v>
      </c>
      <c r="C266" s="37" t="str">
        <f t="shared" si="16"/>
        <v>Thursday</v>
      </c>
      <c r="D266" s="7">
        <f t="shared" si="17"/>
        <v>7</v>
      </c>
      <c r="E266" s="8" t="s">
        <v>9</v>
      </c>
      <c r="F266" s="9" t="s">
        <v>267</v>
      </c>
      <c r="G266" s="9"/>
    </row>
    <row r="267" ht="15.75" customHeight="1">
      <c r="A267" s="36"/>
      <c r="B267" s="36"/>
      <c r="C267" s="37" t="str">
        <f t="shared" si="16"/>
        <v/>
      </c>
      <c r="D267" s="7" t="str">
        <f t="shared" si="17"/>
        <v/>
      </c>
      <c r="E267" s="8"/>
      <c r="F267" s="9" t="s">
        <v>268</v>
      </c>
      <c r="G267" s="9"/>
    </row>
    <row r="268" ht="15.75" customHeight="1">
      <c r="A268" s="36">
        <v>45589.0</v>
      </c>
      <c r="B268" s="36">
        <v>45596.0</v>
      </c>
      <c r="C268" s="37" t="str">
        <f t="shared" si="16"/>
        <v>Thursday</v>
      </c>
      <c r="D268" s="7">
        <f t="shared" si="17"/>
        <v>7</v>
      </c>
      <c r="E268" s="8" t="s">
        <v>9</v>
      </c>
      <c r="F268" s="9" t="s">
        <v>269</v>
      </c>
      <c r="G268" s="9"/>
    </row>
    <row r="269" ht="15.75" customHeight="1">
      <c r="A269" s="36">
        <v>45582.0</v>
      </c>
      <c r="B269" s="36">
        <v>45589.0</v>
      </c>
      <c r="C269" s="37" t="str">
        <f t="shared" si="16"/>
        <v>Thursday</v>
      </c>
      <c r="D269" s="7">
        <f t="shared" si="17"/>
        <v>7</v>
      </c>
      <c r="E269" s="8" t="s">
        <v>9</v>
      </c>
      <c r="F269" s="9" t="s">
        <v>270</v>
      </c>
      <c r="G269" s="9"/>
    </row>
    <row r="270" ht="15.75" customHeight="1">
      <c r="A270" s="36"/>
      <c r="B270" s="36"/>
      <c r="C270" s="37" t="str">
        <f t="shared" si="16"/>
        <v/>
      </c>
      <c r="D270" s="7" t="str">
        <f t="shared" si="17"/>
        <v/>
      </c>
      <c r="E270" s="8"/>
      <c r="F270" s="9" t="s">
        <v>271</v>
      </c>
      <c r="G270" s="9"/>
    </row>
    <row r="271" ht="15.75" customHeight="1">
      <c r="A271" s="36">
        <v>45575.0</v>
      </c>
      <c r="B271" s="36">
        <v>45582.0</v>
      </c>
      <c r="C271" s="37" t="str">
        <f t="shared" si="16"/>
        <v>Thursday</v>
      </c>
      <c r="D271" s="7">
        <f t="shared" si="17"/>
        <v>7</v>
      </c>
      <c r="E271" s="8"/>
      <c r="F271" s="9" t="s">
        <v>272</v>
      </c>
      <c r="G271" s="9"/>
    </row>
    <row r="272" ht="15.75" customHeight="1">
      <c r="A272" s="36"/>
      <c r="B272" s="36"/>
      <c r="C272" s="37" t="str">
        <f t="shared" si="16"/>
        <v/>
      </c>
      <c r="D272" s="7" t="str">
        <f t="shared" si="17"/>
        <v/>
      </c>
      <c r="E272" s="8"/>
      <c r="F272" s="9" t="s">
        <v>273</v>
      </c>
      <c r="G272" s="9"/>
    </row>
    <row r="273" ht="15.75" customHeight="1">
      <c r="A273" s="49">
        <v>45570.0</v>
      </c>
      <c r="B273" s="49">
        <v>45575.0</v>
      </c>
      <c r="C273" s="50" t="str">
        <f t="shared" si="16"/>
        <v>Saturday</v>
      </c>
      <c r="D273" s="12">
        <f t="shared" si="17"/>
        <v>5</v>
      </c>
      <c r="E273" s="13" t="s">
        <v>21</v>
      </c>
      <c r="F273" s="14" t="s">
        <v>274</v>
      </c>
      <c r="G273" s="14"/>
    </row>
    <row r="274" ht="15.75" customHeight="1">
      <c r="A274" s="36">
        <v>45561.0</v>
      </c>
      <c r="B274" s="36">
        <v>45568.0</v>
      </c>
      <c r="C274" s="37" t="str">
        <f t="shared" si="16"/>
        <v>Thursday</v>
      </c>
      <c r="D274" s="7">
        <f t="shared" si="17"/>
        <v>7</v>
      </c>
      <c r="E274" s="8"/>
      <c r="F274" s="9" t="s">
        <v>275</v>
      </c>
      <c r="G274" s="9"/>
    </row>
    <row r="275" ht="15.75" customHeight="1">
      <c r="A275" s="36">
        <v>45554.0</v>
      </c>
      <c r="B275" s="36">
        <v>45561.0</v>
      </c>
      <c r="C275" s="37" t="str">
        <f t="shared" si="16"/>
        <v>Thursday</v>
      </c>
      <c r="D275" s="7">
        <f t="shared" si="17"/>
        <v>7</v>
      </c>
      <c r="E275" s="8"/>
      <c r="F275" s="9" t="s">
        <v>276</v>
      </c>
      <c r="G275" s="9"/>
    </row>
    <row r="276" ht="15.75" customHeight="1">
      <c r="A276" s="36">
        <v>45554.0</v>
      </c>
      <c r="B276" s="36">
        <v>45561.0</v>
      </c>
      <c r="C276" s="37" t="str">
        <f t="shared" si="16"/>
        <v>Thursday</v>
      </c>
      <c r="D276" s="7">
        <f t="shared" si="17"/>
        <v>7</v>
      </c>
      <c r="E276" s="8"/>
      <c r="F276" s="9" t="s">
        <v>277</v>
      </c>
      <c r="G276" s="9"/>
    </row>
    <row r="277" ht="15.75" customHeight="1">
      <c r="A277" s="36"/>
      <c r="B277" s="36"/>
      <c r="C277" s="37" t="str">
        <f t="shared" si="16"/>
        <v/>
      </c>
      <c r="D277" s="7" t="str">
        <f t="shared" si="17"/>
        <v/>
      </c>
      <c r="E277" s="8"/>
      <c r="F277" s="9" t="s">
        <v>278</v>
      </c>
      <c r="G277" s="9"/>
    </row>
    <row r="278" ht="15.75" customHeight="1">
      <c r="A278" s="36">
        <v>45547.0</v>
      </c>
      <c r="B278" s="36">
        <v>45554.0</v>
      </c>
      <c r="C278" s="37" t="str">
        <f t="shared" si="16"/>
        <v>Thursday</v>
      </c>
      <c r="D278" s="7">
        <f t="shared" si="17"/>
        <v>7</v>
      </c>
      <c r="E278" s="8"/>
      <c r="F278" s="9" t="s">
        <v>279</v>
      </c>
      <c r="G278" s="9"/>
    </row>
    <row r="279" ht="15.75" customHeight="1">
      <c r="A279" s="36"/>
      <c r="B279" s="36"/>
      <c r="C279" s="37" t="str">
        <f t="shared" si="16"/>
        <v/>
      </c>
      <c r="D279" s="7" t="str">
        <f t="shared" si="17"/>
        <v/>
      </c>
      <c r="E279" s="8"/>
      <c r="F279" s="9" t="s">
        <v>280</v>
      </c>
      <c r="G279" s="9"/>
    </row>
    <row r="280" ht="15.75" customHeight="1">
      <c r="A280" s="36">
        <v>45540.0</v>
      </c>
      <c r="B280" s="36">
        <v>45547.0</v>
      </c>
      <c r="C280" s="37" t="str">
        <f t="shared" si="16"/>
        <v>Thursday</v>
      </c>
      <c r="D280" s="7">
        <f t="shared" si="17"/>
        <v>7</v>
      </c>
      <c r="E280" s="8"/>
      <c r="F280" s="9" t="s">
        <v>281</v>
      </c>
      <c r="G280" s="9"/>
    </row>
    <row r="281" ht="15.75" customHeight="1">
      <c r="A281" s="36"/>
      <c r="B281" s="36"/>
      <c r="C281" s="37" t="str">
        <f t="shared" si="16"/>
        <v/>
      </c>
      <c r="D281" s="7" t="str">
        <f t="shared" si="17"/>
        <v/>
      </c>
      <c r="E281" s="8"/>
      <c r="F281" s="9" t="s">
        <v>282</v>
      </c>
      <c r="G281" s="9"/>
    </row>
    <row r="282" ht="15.75" customHeight="1">
      <c r="A282" s="36">
        <v>45533.0</v>
      </c>
      <c r="B282" s="36">
        <v>45540.0</v>
      </c>
      <c r="C282" s="37" t="str">
        <f t="shared" si="16"/>
        <v>Thursday</v>
      </c>
      <c r="D282" s="7">
        <f t="shared" si="17"/>
        <v>7</v>
      </c>
      <c r="E282" s="8" t="s">
        <v>9</v>
      </c>
      <c r="F282" s="9" t="s">
        <v>283</v>
      </c>
      <c r="G282" s="9" t="s">
        <v>284</v>
      </c>
    </row>
    <row r="283" ht="15.75" customHeight="1">
      <c r="A283" s="36"/>
      <c r="B283" s="36"/>
      <c r="C283" s="37" t="str">
        <f t="shared" si="16"/>
        <v/>
      </c>
      <c r="D283" s="7" t="str">
        <f t="shared" si="17"/>
        <v/>
      </c>
      <c r="E283" s="8" t="s">
        <v>9</v>
      </c>
      <c r="F283" s="9"/>
      <c r="G283" s="9" t="s">
        <v>285</v>
      </c>
    </row>
    <row r="284" ht="15.75" customHeight="1">
      <c r="A284" s="36"/>
      <c r="B284" s="36"/>
      <c r="C284" s="37" t="str">
        <f t="shared" si="16"/>
        <v/>
      </c>
      <c r="D284" s="7" t="str">
        <f t="shared" si="17"/>
        <v/>
      </c>
      <c r="E284" s="8" t="s">
        <v>9</v>
      </c>
      <c r="F284" s="9"/>
      <c r="G284" s="9" t="s">
        <v>286</v>
      </c>
    </row>
    <row r="285" ht="15.75" customHeight="1">
      <c r="A285" s="36"/>
      <c r="B285" s="36"/>
      <c r="C285" s="37" t="str">
        <f t="shared" si="16"/>
        <v/>
      </c>
      <c r="D285" s="7" t="str">
        <f t="shared" si="17"/>
        <v/>
      </c>
      <c r="E285" s="8"/>
      <c r="F285" s="9" t="s">
        <v>287</v>
      </c>
      <c r="G285" s="9"/>
    </row>
    <row r="286" ht="15.75" customHeight="1">
      <c r="A286" s="36">
        <v>45526.0</v>
      </c>
      <c r="B286" s="36">
        <v>45533.0</v>
      </c>
      <c r="C286" s="37" t="str">
        <f t="shared" si="16"/>
        <v>Thursday</v>
      </c>
      <c r="D286" s="7">
        <f t="shared" si="17"/>
        <v>7</v>
      </c>
      <c r="E286" s="8"/>
      <c r="F286" s="9" t="s">
        <v>288</v>
      </c>
      <c r="G286" s="9"/>
    </row>
    <row r="287" ht="15.75" customHeight="1">
      <c r="A287" s="36"/>
      <c r="B287" s="36"/>
      <c r="C287" s="37" t="str">
        <f t="shared" si="16"/>
        <v/>
      </c>
      <c r="D287" s="7" t="str">
        <f t="shared" si="17"/>
        <v/>
      </c>
      <c r="E287" s="8"/>
      <c r="F287" s="9" t="s">
        <v>107</v>
      </c>
      <c r="G287" s="9"/>
    </row>
    <row r="288" ht="15.75" customHeight="1">
      <c r="A288" s="36">
        <v>45519.0</v>
      </c>
      <c r="B288" s="36">
        <v>45526.0</v>
      </c>
      <c r="C288" s="37" t="str">
        <f t="shared" si="16"/>
        <v>Thursday</v>
      </c>
      <c r="D288" s="7">
        <f t="shared" si="17"/>
        <v>7</v>
      </c>
      <c r="E288" s="8"/>
      <c r="F288" s="9" t="s">
        <v>289</v>
      </c>
      <c r="G288" s="9"/>
    </row>
    <row r="289" ht="15.75" customHeight="1">
      <c r="A289" s="36"/>
      <c r="B289" s="36"/>
      <c r="C289" s="37" t="str">
        <f t="shared" si="16"/>
        <v/>
      </c>
      <c r="D289" s="7" t="str">
        <f t="shared" si="17"/>
        <v/>
      </c>
      <c r="E289" s="8" t="s">
        <v>5</v>
      </c>
      <c r="F289" s="9" t="s">
        <v>290</v>
      </c>
      <c r="G289" s="9"/>
    </row>
    <row r="290" ht="15.75" customHeight="1">
      <c r="A290" s="36">
        <v>45512.0</v>
      </c>
      <c r="B290" s="36">
        <v>45519.0</v>
      </c>
      <c r="C290" s="37" t="str">
        <f t="shared" si="16"/>
        <v>Thursday</v>
      </c>
      <c r="D290" s="7">
        <f t="shared" si="17"/>
        <v>7</v>
      </c>
      <c r="E290" s="8" t="s">
        <v>5</v>
      </c>
      <c r="F290" s="9" t="s">
        <v>291</v>
      </c>
      <c r="G290" s="9"/>
    </row>
    <row r="291" ht="15.75" customHeight="1">
      <c r="A291" s="36"/>
      <c r="B291" s="36"/>
      <c r="C291" s="37" t="str">
        <f t="shared" si="16"/>
        <v/>
      </c>
      <c r="D291" s="7" t="str">
        <f t="shared" si="17"/>
        <v/>
      </c>
      <c r="E291" s="8"/>
      <c r="F291" s="9" t="s">
        <v>292</v>
      </c>
      <c r="G291" s="9"/>
    </row>
    <row r="292" ht="15.75" customHeight="1">
      <c r="A292" s="36"/>
      <c r="B292" s="36"/>
      <c r="C292" s="37" t="str">
        <f t="shared" si="16"/>
        <v/>
      </c>
      <c r="D292" s="7" t="str">
        <f t="shared" si="17"/>
        <v/>
      </c>
      <c r="E292" s="8" t="s">
        <v>9</v>
      </c>
      <c r="F292" s="9" t="s">
        <v>293</v>
      </c>
      <c r="G292" s="9"/>
    </row>
    <row r="293" ht="15.75" customHeight="1">
      <c r="A293" s="36">
        <v>45505.0</v>
      </c>
      <c r="B293" s="36">
        <v>45512.0</v>
      </c>
      <c r="C293" s="37" t="str">
        <f t="shared" si="16"/>
        <v>Thursday</v>
      </c>
      <c r="D293" s="7">
        <f t="shared" si="17"/>
        <v>7</v>
      </c>
      <c r="E293" s="8"/>
      <c r="F293" s="9" t="s">
        <v>294</v>
      </c>
      <c r="G293" s="9"/>
    </row>
    <row r="294" ht="15.75" customHeight="1">
      <c r="A294" s="36"/>
      <c r="B294" s="36"/>
      <c r="C294" s="37" t="str">
        <f t="shared" si="16"/>
        <v/>
      </c>
      <c r="D294" s="7" t="str">
        <f t="shared" si="17"/>
        <v/>
      </c>
      <c r="E294" s="8"/>
      <c r="F294" s="9" t="s">
        <v>295</v>
      </c>
      <c r="G294" s="9"/>
    </row>
    <row r="295" ht="15.75" customHeight="1">
      <c r="A295" s="36">
        <v>45498.0</v>
      </c>
      <c r="B295" s="36">
        <v>45505.0</v>
      </c>
      <c r="C295" s="37" t="str">
        <f t="shared" si="16"/>
        <v>Thursday</v>
      </c>
      <c r="D295" s="7">
        <f t="shared" si="17"/>
        <v>7</v>
      </c>
      <c r="E295" s="8" t="s">
        <v>9</v>
      </c>
      <c r="F295" s="9" t="s">
        <v>296</v>
      </c>
      <c r="G295" s="9"/>
    </row>
    <row r="296" ht="15.75" customHeight="1">
      <c r="A296" s="36"/>
      <c r="B296" s="36"/>
      <c r="C296" s="37" t="str">
        <f t="shared" si="16"/>
        <v/>
      </c>
      <c r="D296" s="7" t="str">
        <f t="shared" si="17"/>
        <v/>
      </c>
      <c r="E296" s="8" t="s">
        <v>5</v>
      </c>
      <c r="F296" s="9" t="s">
        <v>297</v>
      </c>
      <c r="G296" s="9"/>
    </row>
    <row r="297" ht="15.75" customHeight="1">
      <c r="A297" s="36">
        <v>45491.0</v>
      </c>
      <c r="B297" s="36">
        <v>45498.0</v>
      </c>
      <c r="C297" s="37" t="str">
        <f t="shared" si="16"/>
        <v>Thursday</v>
      </c>
      <c r="D297" s="7">
        <f t="shared" si="17"/>
        <v>7</v>
      </c>
      <c r="E297" s="8"/>
      <c r="F297" s="9" t="s">
        <v>298</v>
      </c>
      <c r="G297" s="9"/>
    </row>
    <row r="298" ht="15.75" customHeight="1">
      <c r="A298" s="36"/>
      <c r="B298" s="36"/>
      <c r="C298" s="37" t="str">
        <f t="shared" si="16"/>
        <v/>
      </c>
      <c r="D298" s="7" t="str">
        <f t="shared" si="17"/>
        <v/>
      </c>
      <c r="E298" s="8"/>
      <c r="F298" s="9" t="s">
        <v>299</v>
      </c>
      <c r="G298" s="9"/>
    </row>
    <row r="299" ht="15.75" customHeight="1">
      <c r="A299" s="36">
        <v>45484.0</v>
      </c>
      <c r="B299" s="36">
        <v>45491.0</v>
      </c>
      <c r="C299" s="37" t="str">
        <f t="shared" si="16"/>
        <v>Thursday</v>
      </c>
      <c r="D299" s="7">
        <f t="shared" si="17"/>
        <v>7</v>
      </c>
      <c r="E299" s="8"/>
      <c r="F299" s="9" t="s">
        <v>300</v>
      </c>
      <c r="G299" s="9"/>
    </row>
    <row r="300" ht="15.75" customHeight="1">
      <c r="A300" s="36">
        <v>45477.0</v>
      </c>
      <c r="B300" s="36">
        <v>45484.0</v>
      </c>
      <c r="C300" s="37" t="str">
        <f t="shared" si="16"/>
        <v>Thursday</v>
      </c>
      <c r="D300" s="7">
        <f t="shared" si="17"/>
        <v>7</v>
      </c>
      <c r="E300" s="8"/>
      <c r="F300" s="9" t="s">
        <v>301</v>
      </c>
      <c r="G300" s="9"/>
    </row>
    <row r="301" ht="15.75" customHeight="1">
      <c r="A301" s="36">
        <v>45470.0</v>
      </c>
      <c r="B301" s="36">
        <v>45477.0</v>
      </c>
      <c r="C301" s="37" t="str">
        <f t="shared" si="16"/>
        <v>Thursday</v>
      </c>
      <c r="D301" s="7">
        <f t="shared" si="17"/>
        <v>7</v>
      </c>
      <c r="E301" s="8"/>
      <c r="F301" s="9" t="s">
        <v>302</v>
      </c>
      <c r="G301" s="9"/>
    </row>
    <row r="302" ht="15.75" customHeight="1">
      <c r="A302" s="36">
        <v>45463.0</v>
      </c>
      <c r="B302" s="36">
        <v>45470.0</v>
      </c>
      <c r="C302" s="37" t="str">
        <f t="shared" si="16"/>
        <v>Thursday</v>
      </c>
      <c r="D302" s="7">
        <f t="shared" si="17"/>
        <v>7</v>
      </c>
      <c r="E302" s="8"/>
      <c r="F302" s="9" t="s">
        <v>303</v>
      </c>
      <c r="G302" s="9"/>
    </row>
    <row r="303" ht="15.75" customHeight="1">
      <c r="A303" s="36"/>
      <c r="B303" s="36"/>
      <c r="C303" s="37" t="str">
        <f t="shared" si="16"/>
        <v/>
      </c>
      <c r="D303" s="7" t="str">
        <f t="shared" si="17"/>
        <v/>
      </c>
      <c r="E303" s="8"/>
      <c r="F303" s="9" t="s">
        <v>304</v>
      </c>
      <c r="G303" s="9"/>
    </row>
    <row r="304" ht="15.75" customHeight="1">
      <c r="A304" s="49">
        <v>45461.0</v>
      </c>
      <c r="B304" s="49">
        <v>45484.0</v>
      </c>
      <c r="C304" s="50" t="str">
        <f t="shared" si="16"/>
        <v>Tuesday</v>
      </c>
      <c r="D304" s="12">
        <f t="shared" si="17"/>
        <v>23</v>
      </c>
      <c r="E304" s="13" t="s">
        <v>21</v>
      </c>
      <c r="F304" s="14" t="s">
        <v>305</v>
      </c>
      <c r="G304" s="14" t="s">
        <v>306</v>
      </c>
    </row>
    <row r="305" ht="15.75" customHeight="1">
      <c r="A305" s="49"/>
      <c r="B305" s="49"/>
      <c r="C305" s="50" t="str">
        <f t="shared" si="16"/>
        <v/>
      </c>
      <c r="D305" s="12" t="str">
        <f t="shared" si="17"/>
        <v/>
      </c>
      <c r="E305" s="13" t="s">
        <v>21</v>
      </c>
      <c r="F305" s="14" t="s">
        <v>307</v>
      </c>
      <c r="G305" s="14" t="s">
        <v>306</v>
      </c>
    </row>
    <row r="306" ht="15.75" customHeight="1">
      <c r="A306" s="49"/>
      <c r="B306" s="49"/>
      <c r="C306" s="50" t="str">
        <f t="shared" si="16"/>
        <v/>
      </c>
      <c r="D306" s="12" t="str">
        <f t="shared" si="17"/>
        <v/>
      </c>
      <c r="E306" s="13" t="s">
        <v>21</v>
      </c>
      <c r="F306" s="14" t="s">
        <v>308</v>
      </c>
      <c r="G306" s="14" t="s">
        <v>306</v>
      </c>
    </row>
    <row r="307" ht="15.75" customHeight="1">
      <c r="A307" s="49"/>
      <c r="B307" s="49"/>
      <c r="C307" s="50" t="str">
        <f t="shared" si="16"/>
        <v/>
      </c>
      <c r="D307" s="12" t="str">
        <f t="shared" si="17"/>
        <v/>
      </c>
      <c r="E307" s="13" t="s">
        <v>21</v>
      </c>
      <c r="F307" s="14" t="s">
        <v>309</v>
      </c>
      <c r="G307" s="14" t="s">
        <v>306</v>
      </c>
    </row>
    <row r="308" ht="15.75" customHeight="1">
      <c r="A308" s="36">
        <v>45456.0</v>
      </c>
      <c r="B308" s="36">
        <v>45463.0</v>
      </c>
      <c r="C308" s="37" t="str">
        <f t="shared" si="16"/>
        <v>Thursday</v>
      </c>
      <c r="D308" s="7">
        <f t="shared" si="17"/>
        <v>7</v>
      </c>
      <c r="E308" s="8" t="s">
        <v>5</v>
      </c>
      <c r="F308" s="9" t="s">
        <v>310</v>
      </c>
      <c r="G308" s="9"/>
    </row>
    <row r="309" ht="15.75" customHeight="1">
      <c r="A309" s="36"/>
      <c r="B309" s="36"/>
      <c r="C309" s="37" t="str">
        <f t="shared" si="16"/>
        <v/>
      </c>
      <c r="D309" s="7" t="str">
        <f t="shared" si="17"/>
        <v/>
      </c>
      <c r="E309" s="8"/>
      <c r="F309" s="9" t="s">
        <v>311</v>
      </c>
      <c r="G309" s="9"/>
    </row>
    <row r="310" ht="15.75" customHeight="1">
      <c r="A310" s="30">
        <v>45449.0</v>
      </c>
      <c r="B310" s="30">
        <v>45456.0</v>
      </c>
      <c r="C310" s="31" t="str">
        <f t="shared" si="16"/>
        <v>Thursday</v>
      </c>
      <c r="D310" s="32">
        <f t="shared" si="17"/>
        <v>7</v>
      </c>
      <c r="E310" s="33"/>
      <c r="F310" s="34" t="s">
        <v>312</v>
      </c>
      <c r="G310" s="34"/>
    </row>
    <row r="311" ht="15.75" customHeight="1">
      <c r="A311" s="30">
        <v>45442.0</v>
      </c>
      <c r="B311" s="30">
        <v>45449.0</v>
      </c>
      <c r="C311" s="31" t="str">
        <f t="shared" si="16"/>
        <v>Thursday</v>
      </c>
      <c r="D311" s="32">
        <f t="shared" si="17"/>
        <v>7</v>
      </c>
      <c r="E311" s="33"/>
      <c r="F311" s="34" t="s">
        <v>94</v>
      </c>
      <c r="G311" s="34"/>
    </row>
    <row r="312" ht="15.75" customHeight="1">
      <c r="A312" s="49">
        <v>45435.0</v>
      </c>
      <c r="B312" s="49">
        <v>45442.0</v>
      </c>
      <c r="C312" s="50" t="str">
        <f t="shared" si="16"/>
        <v>Thursday</v>
      </c>
      <c r="D312" s="12">
        <f t="shared" si="17"/>
        <v>7</v>
      </c>
      <c r="E312" s="13" t="s">
        <v>24</v>
      </c>
      <c r="F312" s="14" t="s">
        <v>313</v>
      </c>
      <c r="G312" s="14" t="s">
        <v>314</v>
      </c>
    </row>
    <row r="313" ht="15.75" customHeight="1">
      <c r="A313" s="30">
        <v>45435.0</v>
      </c>
      <c r="B313" s="30">
        <v>45442.0</v>
      </c>
      <c r="C313" s="31" t="str">
        <f t="shared" si="16"/>
        <v>Thursday</v>
      </c>
      <c r="D313" s="32">
        <f t="shared" si="17"/>
        <v>7</v>
      </c>
      <c r="E313" s="33"/>
      <c r="F313" s="34" t="s">
        <v>315</v>
      </c>
      <c r="G313" s="34"/>
    </row>
    <row r="314" ht="15.75" customHeight="1">
      <c r="A314" s="49">
        <v>45434.0</v>
      </c>
      <c r="B314" s="49">
        <v>45456.0</v>
      </c>
      <c r="C314" s="50" t="str">
        <f t="shared" si="16"/>
        <v>Wednesday</v>
      </c>
      <c r="D314" s="12">
        <f t="shared" si="17"/>
        <v>22</v>
      </c>
      <c r="E314" s="13" t="s">
        <v>21</v>
      </c>
      <c r="F314" s="14" t="s">
        <v>316</v>
      </c>
      <c r="G314" s="14"/>
    </row>
    <row r="315" ht="15.75" customHeight="1">
      <c r="A315" s="30">
        <v>45428.0</v>
      </c>
      <c r="B315" s="30">
        <v>45435.0</v>
      </c>
      <c r="C315" s="31" t="str">
        <f t="shared" si="16"/>
        <v>Thursday</v>
      </c>
      <c r="D315" s="32">
        <f t="shared" si="17"/>
        <v>7</v>
      </c>
      <c r="E315" s="33"/>
      <c r="F315" s="34" t="s">
        <v>317</v>
      </c>
      <c r="G315" s="34"/>
    </row>
    <row r="316" ht="15.75" customHeight="1">
      <c r="A316" s="36">
        <v>45421.0</v>
      </c>
      <c r="B316" s="36">
        <v>45428.0</v>
      </c>
      <c r="C316" s="37" t="str">
        <f t="shared" si="16"/>
        <v>Thursday</v>
      </c>
      <c r="D316" s="7">
        <f t="shared" si="17"/>
        <v>7</v>
      </c>
      <c r="E316" s="8"/>
      <c r="F316" s="9" t="s">
        <v>318</v>
      </c>
      <c r="G316" s="9"/>
    </row>
    <row r="317" ht="15.75" customHeight="1">
      <c r="A317" s="36"/>
      <c r="B317" s="36"/>
      <c r="C317" s="37" t="str">
        <f t="shared" si="16"/>
        <v/>
      </c>
      <c r="D317" s="7" t="str">
        <f t="shared" si="17"/>
        <v/>
      </c>
      <c r="E317" s="8" t="s">
        <v>5</v>
      </c>
      <c r="F317" s="9" t="s">
        <v>319</v>
      </c>
      <c r="G317" s="9"/>
    </row>
    <row r="318" ht="15.75" customHeight="1">
      <c r="A318" s="36">
        <v>45414.0</v>
      </c>
      <c r="B318" s="36">
        <v>45421.0</v>
      </c>
      <c r="C318" s="37" t="str">
        <f t="shared" si="16"/>
        <v>Thursday</v>
      </c>
      <c r="D318" s="7">
        <f t="shared" si="17"/>
        <v>7</v>
      </c>
      <c r="E318" s="8"/>
      <c r="F318" s="9" t="s">
        <v>320</v>
      </c>
      <c r="G318" s="9"/>
    </row>
    <row r="319" ht="15.75" customHeight="1">
      <c r="A319" s="36"/>
      <c r="B319" s="36"/>
      <c r="C319" s="37" t="str">
        <f t="shared" si="16"/>
        <v/>
      </c>
      <c r="D319" s="7" t="str">
        <f t="shared" si="17"/>
        <v/>
      </c>
      <c r="E319" s="8"/>
      <c r="F319" s="9" t="s">
        <v>247</v>
      </c>
      <c r="G319" s="9"/>
    </row>
    <row r="320" ht="15.75" customHeight="1">
      <c r="A320" s="36">
        <v>45407.0</v>
      </c>
      <c r="B320" s="36">
        <v>45414.0</v>
      </c>
      <c r="C320" s="37" t="str">
        <f t="shared" si="16"/>
        <v>Thursday</v>
      </c>
      <c r="D320" s="7">
        <f t="shared" si="17"/>
        <v>7</v>
      </c>
      <c r="E320" s="8"/>
      <c r="F320" s="9" t="s">
        <v>321</v>
      </c>
      <c r="G320" s="9"/>
    </row>
    <row r="321" ht="15.75" customHeight="1">
      <c r="A321" s="36"/>
      <c r="B321" s="36"/>
      <c r="C321" s="37" t="str">
        <f t="shared" si="16"/>
        <v/>
      </c>
      <c r="D321" s="7" t="str">
        <f t="shared" si="17"/>
        <v/>
      </c>
      <c r="E321" s="8"/>
      <c r="F321" s="9" t="s">
        <v>322</v>
      </c>
      <c r="G321" s="9" t="s">
        <v>323</v>
      </c>
    </row>
    <row r="322" ht="15.75" customHeight="1">
      <c r="A322" s="53"/>
      <c r="B322" s="53"/>
      <c r="C322" s="54" t="str">
        <f t="shared" si="16"/>
        <v/>
      </c>
      <c r="D322" s="55" t="str">
        <f t="shared" si="17"/>
        <v/>
      </c>
      <c r="E322" s="56"/>
      <c r="F322" s="9"/>
      <c r="G322" s="9" t="s">
        <v>324</v>
      </c>
    </row>
    <row r="323" ht="15.75" customHeight="1">
      <c r="A323" s="36">
        <v>45400.0</v>
      </c>
      <c r="B323" s="36">
        <v>45407.0</v>
      </c>
      <c r="C323" s="37" t="str">
        <f t="shared" si="16"/>
        <v>Thursday</v>
      </c>
      <c r="D323" s="7">
        <f t="shared" si="17"/>
        <v>7</v>
      </c>
      <c r="E323" s="8"/>
      <c r="F323" s="9" t="s">
        <v>325</v>
      </c>
      <c r="G323" s="9"/>
    </row>
    <row r="324" ht="15.75" customHeight="1">
      <c r="A324" s="36"/>
      <c r="B324" s="36"/>
      <c r="C324" s="37" t="str">
        <f t="shared" si="16"/>
        <v/>
      </c>
      <c r="D324" s="7" t="str">
        <f t="shared" si="17"/>
        <v/>
      </c>
      <c r="E324" s="8" t="s">
        <v>11</v>
      </c>
      <c r="F324" s="9" t="s">
        <v>326</v>
      </c>
      <c r="G324" s="9"/>
    </row>
    <row r="325" ht="15.75" customHeight="1">
      <c r="A325" s="36">
        <v>45393.0</v>
      </c>
      <c r="B325" s="36">
        <v>45400.0</v>
      </c>
      <c r="C325" s="37" t="str">
        <f t="shared" si="16"/>
        <v>Thursday</v>
      </c>
      <c r="D325" s="7">
        <f t="shared" si="17"/>
        <v>7</v>
      </c>
      <c r="E325" s="8" t="s">
        <v>9</v>
      </c>
      <c r="F325" s="9" t="s">
        <v>327</v>
      </c>
      <c r="G325" s="9"/>
    </row>
    <row r="326" ht="15.75" customHeight="1">
      <c r="A326" s="36">
        <v>45386.0</v>
      </c>
      <c r="B326" s="36">
        <v>45393.0</v>
      </c>
      <c r="C326" s="37" t="str">
        <f t="shared" si="16"/>
        <v>Thursday</v>
      </c>
      <c r="D326" s="7">
        <f t="shared" si="17"/>
        <v>7</v>
      </c>
      <c r="E326" s="8" t="s">
        <v>9</v>
      </c>
      <c r="F326" s="9" t="s">
        <v>328</v>
      </c>
      <c r="G326" s="9"/>
    </row>
    <row r="327" ht="15.75" customHeight="1">
      <c r="A327" s="36"/>
      <c r="B327" s="36"/>
      <c r="C327" s="37" t="str">
        <f t="shared" si="16"/>
        <v/>
      </c>
      <c r="D327" s="7" t="str">
        <f t="shared" si="17"/>
        <v/>
      </c>
      <c r="E327" s="8"/>
      <c r="F327" s="9" t="s">
        <v>329</v>
      </c>
      <c r="G327" s="9"/>
    </row>
    <row r="328" ht="15.75" customHeight="1">
      <c r="A328" s="36">
        <v>45379.0</v>
      </c>
      <c r="B328" s="36">
        <v>45386.0</v>
      </c>
      <c r="C328" s="37" t="str">
        <f t="shared" si="16"/>
        <v>Thursday</v>
      </c>
      <c r="D328" s="7">
        <f t="shared" si="17"/>
        <v>7</v>
      </c>
      <c r="E328" s="8"/>
      <c r="F328" s="9" t="s">
        <v>330</v>
      </c>
      <c r="G328" s="9"/>
    </row>
    <row r="329" ht="15.75" customHeight="1">
      <c r="A329" s="49">
        <v>45372.0</v>
      </c>
      <c r="B329" s="49">
        <v>45386.0</v>
      </c>
      <c r="C329" s="50" t="str">
        <f t="shared" si="16"/>
        <v>Thursday</v>
      </c>
      <c r="D329" s="12">
        <f t="shared" si="17"/>
        <v>14</v>
      </c>
      <c r="E329" s="13" t="s">
        <v>21</v>
      </c>
      <c r="F329" s="57" t="s">
        <v>331</v>
      </c>
      <c r="G329" s="57" t="s">
        <v>332</v>
      </c>
    </row>
    <row r="330" ht="15.75" customHeight="1">
      <c r="A330" s="36">
        <v>45372.0</v>
      </c>
      <c r="B330" s="36">
        <v>45379.0</v>
      </c>
      <c r="C330" s="37" t="str">
        <f t="shared" si="16"/>
        <v>Thursday</v>
      </c>
      <c r="D330" s="7">
        <f t="shared" si="17"/>
        <v>7</v>
      </c>
      <c r="E330" s="8"/>
      <c r="F330" s="58" t="s">
        <v>333</v>
      </c>
      <c r="G330" s="59"/>
    </row>
    <row r="331" ht="15.75" customHeight="1">
      <c r="A331" s="36"/>
      <c r="B331" s="36"/>
      <c r="C331" s="37" t="str">
        <f t="shared" si="16"/>
        <v/>
      </c>
      <c r="D331" s="7" t="str">
        <f t="shared" si="17"/>
        <v/>
      </c>
      <c r="E331" s="8"/>
      <c r="F331" s="9" t="s">
        <v>270</v>
      </c>
      <c r="G331" s="9"/>
    </row>
    <row r="332" ht="15.75" customHeight="1">
      <c r="A332" s="49">
        <v>45365.0</v>
      </c>
      <c r="B332" s="49">
        <v>45395.0</v>
      </c>
      <c r="C332" s="50" t="str">
        <f t="shared" si="16"/>
        <v>Thursday</v>
      </c>
      <c r="D332" s="12">
        <f t="shared" si="17"/>
        <v>30</v>
      </c>
      <c r="E332" s="13" t="s">
        <v>21</v>
      </c>
      <c r="F332" s="14" t="s">
        <v>334</v>
      </c>
      <c r="G332" s="14"/>
    </row>
    <row r="333" ht="15.75" customHeight="1">
      <c r="A333" s="36">
        <v>45365.0</v>
      </c>
      <c r="B333" s="36">
        <v>45372.0</v>
      </c>
      <c r="C333" s="37" t="str">
        <f t="shared" si="16"/>
        <v>Thursday</v>
      </c>
      <c r="D333" s="7">
        <f t="shared" si="17"/>
        <v>7</v>
      </c>
      <c r="E333" s="8"/>
      <c r="F333" s="9" t="s">
        <v>335</v>
      </c>
      <c r="G333" s="9"/>
    </row>
    <row r="334" ht="15.75" customHeight="1">
      <c r="A334" s="36"/>
      <c r="B334" s="36"/>
      <c r="C334" s="37" t="str">
        <f t="shared" si="16"/>
        <v/>
      </c>
      <c r="D334" s="7" t="str">
        <f t="shared" si="17"/>
        <v/>
      </c>
      <c r="E334" s="8" t="s">
        <v>9</v>
      </c>
      <c r="F334" s="9" t="s">
        <v>336</v>
      </c>
      <c r="G334" s="9"/>
    </row>
    <row r="335" ht="15.75" customHeight="1">
      <c r="A335" s="36">
        <v>45358.0</v>
      </c>
      <c r="B335" s="36">
        <v>45365.0</v>
      </c>
      <c r="C335" s="37" t="str">
        <f t="shared" si="16"/>
        <v>Thursday</v>
      </c>
      <c r="D335" s="7">
        <f t="shared" si="17"/>
        <v>7</v>
      </c>
      <c r="E335" s="8"/>
      <c r="F335" s="9" t="s">
        <v>337</v>
      </c>
      <c r="G335" s="9"/>
    </row>
    <row r="336" ht="15.75" customHeight="1">
      <c r="A336" s="36">
        <v>45351.0</v>
      </c>
      <c r="B336" s="36">
        <v>45358.0</v>
      </c>
      <c r="C336" s="37" t="str">
        <f t="shared" si="16"/>
        <v>Thursday</v>
      </c>
      <c r="D336" s="7">
        <f t="shared" si="17"/>
        <v>7</v>
      </c>
      <c r="E336" s="8"/>
      <c r="F336" s="9" t="s">
        <v>338</v>
      </c>
      <c r="G336" s="9"/>
    </row>
    <row r="337" ht="15.75" customHeight="1">
      <c r="A337" s="36">
        <v>45344.0</v>
      </c>
      <c r="B337" s="36">
        <v>45351.0</v>
      </c>
      <c r="C337" s="37" t="str">
        <f t="shared" si="16"/>
        <v>Thursday</v>
      </c>
      <c r="D337" s="7">
        <f t="shared" si="17"/>
        <v>7</v>
      </c>
      <c r="E337" s="8"/>
      <c r="F337" s="9" t="s">
        <v>339</v>
      </c>
      <c r="G337" s="9"/>
    </row>
    <row r="338" ht="15.75" customHeight="1">
      <c r="A338" s="36">
        <v>45337.0</v>
      </c>
      <c r="B338" s="36">
        <v>45344.0</v>
      </c>
      <c r="C338" s="37" t="str">
        <f t="shared" si="16"/>
        <v>Thursday</v>
      </c>
      <c r="D338" s="7">
        <f t="shared" si="17"/>
        <v>7</v>
      </c>
      <c r="E338" s="8"/>
      <c r="F338" s="9" t="s">
        <v>340</v>
      </c>
      <c r="G338" s="9"/>
    </row>
    <row r="339" ht="15.75" customHeight="1">
      <c r="A339" s="49">
        <v>45330.0</v>
      </c>
      <c r="B339" s="49">
        <v>45341.0</v>
      </c>
      <c r="C339" s="50" t="str">
        <f t="shared" si="16"/>
        <v>Thursday</v>
      </c>
      <c r="D339" s="12">
        <f t="shared" si="17"/>
        <v>11</v>
      </c>
      <c r="E339" s="13" t="s">
        <v>21</v>
      </c>
      <c r="F339" s="14" t="s">
        <v>341</v>
      </c>
      <c r="G339" s="14" t="s">
        <v>342</v>
      </c>
    </row>
    <row r="340" ht="15.75" customHeight="1">
      <c r="A340" s="36">
        <v>45330.0</v>
      </c>
      <c r="B340" s="36">
        <v>45337.0</v>
      </c>
      <c r="C340" s="37" t="str">
        <f t="shared" si="16"/>
        <v>Thursday</v>
      </c>
      <c r="D340" s="7">
        <f t="shared" si="17"/>
        <v>7</v>
      </c>
      <c r="E340" s="8"/>
      <c r="F340" s="9" t="s">
        <v>343</v>
      </c>
      <c r="G340" s="9"/>
    </row>
    <row r="341" ht="15.75" customHeight="1">
      <c r="A341" s="36"/>
      <c r="B341" s="36"/>
      <c r="C341" s="37" t="str">
        <f t="shared" si="16"/>
        <v/>
      </c>
      <c r="D341" s="7" t="str">
        <f t="shared" si="17"/>
        <v/>
      </c>
      <c r="E341" s="8"/>
      <c r="F341" s="9" t="s">
        <v>344</v>
      </c>
      <c r="G341" s="9"/>
    </row>
    <row r="342" ht="15.75" customHeight="1">
      <c r="A342" s="36">
        <v>45323.0</v>
      </c>
      <c r="B342" s="36">
        <v>45330.0</v>
      </c>
      <c r="C342" s="37" t="str">
        <f t="shared" si="16"/>
        <v>Thursday</v>
      </c>
      <c r="D342" s="7">
        <f t="shared" si="17"/>
        <v>7</v>
      </c>
      <c r="E342" s="8"/>
      <c r="F342" s="9" t="s">
        <v>345</v>
      </c>
      <c r="G342" s="9"/>
    </row>
    <row r="343" ht="15.75" customHeight="1">
      <c r="A343" s="36">
        <v>45316.0</v>
      </c>
      <c r="B343" s="36">
        <v>45323.0</v>
      </c>
      <c r="C343" s="37" t="str">
        <f t="shared" si="16"/>
        <v>Thursday</v>
      </c>
      <c r="D343" s="7">
        <f t="shared" si="17"/>
        <v>7</v>
      </c>
      <c r="E343" s="8"/>
      <c r="F343" s="9" t="s">
        <v>346</v>
      </c>
      <c r="G343" s="9"/>
    </row>
    <row r="344" ht="15.75" customHeight="1">
      <c r="A344" s="36">
        <v>45309.0</v>
      </c>
      <c r="B344" s="36">
        <v>45316.0</v>
      </c>
      <c r="C344" s="37" t="str">
        <f t="shared" si="16"/>
        <v>Thursday</v>
      </c>
      <c r="D344" s="7">
        <f t="shared" si="17"/>
        <v>7</v>
      </c>
      <c r="E344" s="8"/>
      <c r="F344" s="9" t="s">
        <v>347</v>
      </c>
      <c r="G344" s="9" t="s">
        <v>348</v>
      </c>
    </row>
    <row r="345" ht="15.75" customHeight="1">
      <c r="A345" s="36"/>
      <c r="B345" s="36"/>
      <c r="C345" s="37" t="str">
        <f t="shared" si="16"/>
        <v/>
      </c>
      <c r="D345" s="7" t="str">
        <f t="shared" si="17"/>
        <v/>
      </c>
      <c r="E345" s="8"/>
      <c r="F345" s="9"/>
      <c r="G345" s="9" t="s">
        <v>349</v>
      </c>
    </row>
    <row r="346" ht="15.75" customHeight="1">
      <c r="A346" s="36">
        <v>45302.0</v>
      </c>
      <c r="B346" s="36">
        <v>45309.0</v>
      </c>
      <c r="C346" s="37" t="str">
        <f t="shared" si="16"/>
        <v>Thursday</v>
      </c>
      <c r="D346" s="7">
        <f t="shared" si="17"/>
        <v>7</v>
      </c>
      <c r="E346" s="8"/>
      <c r="F346" s="9" t="s">
        <v>350</v>
      </c>
      <c r="G346" s="9"/>
    </row>
    <row r="347" ht="15.75" customHeight="1">
      <c r="A347" s="30">
        <v>45295.0</v>
      </c>
      <c r="B347" s="30">
        <v>45302.0</v>
      </c>
      <c r="C347" s="31" t="str">
        <f t="shared" si="16"/>
        <v>Thursday</v>
      </c>
      <c r="D347" s="32">
        <f t="shared" si="17"/>
        <v>7</v>
      </c>
      <c r="E347" s="33"/>
      <c r="F347" s="34" t="s">
        <v>351</v>
      </c>
      <c r="G347" s="34"/>
    </row>
    <row r="348" ht="15.75" customHeight="1">
      <c r="A348" s="30">
        <v>45294.0</v>
      </c>
      <c r="B348" s="30">
        <v>45295.0</v>
      </c>
      <c r="C348" s="31" t="str">
        <f t="shared" si="16"/>
        <v>Wednesday</v>
      </c>
      <c r="D348" s="32">
        <f t="shared" si="17"/>
        <v>1</v>
      </c>
      <c r="E348" s="33" t="s">
        <v>9</v>
      </c>
      <c r="F348" s="34" t="s">
        <v>352</v>
      </c>
      <c r="G348" s="34"/>
    </row>
    <row r="349" ht="15.75" customHeight="1">
      <c r="A349" s="30">
        <v>45293.0</v>
      </c>
      <c r="B349" s="30">
        <v>45294.0</v>
      </c>
      <c r="C349" s="31" t="str">
        <f t="shared" si="16"/>
        <v>Tuesday</v>
      </c>
      <c r="D349" s="32">
        <f t="shared" si="17"/>
        <v>1</v>
      </c>
      <c r="E349" s="33"/>
      <c r="F349" s="34" t="s">
        <v>353</v>
      </c>
      <c r="G349" s="34"/>
    </row>
    <row r="350" ht="15.75" customHeight="1">
      <c r="A350" s="30">
        <v>45292.0</v>
      </c>
      <c r="B350" s="30">
        <v>45293.0</v>
      </c>
      <c r="C350" s="31" t="str">
        <f t="shared" si="16"/>
        <v>Monday</v>
      </c>
      <c r="D350" s="32">
        <f t="shared" si="17"/>
        <v>1</v>
      </c>
      <c r="E350" s="33"/>
      <c r="F350" s="34" t="s">
        <v>241</v>
      </c>
      <c r="G350" s="34"/>
    </row>
    <row r="351" ht="15.75" customHeight="1">
      <c r="A351" s="30">
        <v>45291.0</v>
      </c>
      <c r="B351" s="30">
        <v>45292.0</v>
      </c>
      <c r="C351" s="31" t="str">
        <f t="shared" si="16"/>
        <v>Sunday</v>
      </c>
      <c r="D351" s="32">
        <f t="shared" si="17"/>
        <v>1</v>
      </c>
      <c r="E351" s="33"/>
      <c r="F351" s="34" t="s">
        <v>327</v>
      </c>
      <c r="G351" s="34"/>
    </row>
    <row r="352" ht="15.75" customHeight="1">
      <c r="A352" s="30">
        <v>45290.0</v>
      </c>
      <c r="B352" s="30">
        <v>45291.0</v>
      </c>
      <c r="C352" s="31" t="str">
        <f t="shared" si="16"/>
        <v>Saturday</v>
      </c>
      <c r="D352" s="32">
        <f t="shared" si="17"/>
        <v>1</v>
      </c>
      <c r="E352" s="33"/>
      <c r="F352" s="34" t="s">
        <v>354</v>
      </c>
      <c r="G352" s="34"/>
    </row>
    <row r="353" ht="15.75" customHeight="1">
      <c r="A353" s="30">
        <v>45289.0</v>
      </c>
      <c r="B353" s="30">
        <v>45290.0</v>
      </c>
      <c r="C353" s="31" t="str">
        <f t="shared" si="16"/>
        <v>Friday</v>
      </c>
      <c r="D353" s="32">
        <f t="shared" si="17"/>
        <v>1</v>
      </c>
      <c r="E353" s="33"/>
      <c r="F353" s="34" t="s">
        <v>264</v>
      </c>
      <c r="G353" s="34"/>
    </row>
    <row r="354" ht="15.75" customHeight="1">
      <c r="A354" s="30">
        <v>45288.0</v>
      </c>
      <c r="B354" s="30">
        <v>45289.0</v>
      </c>
      <c r="C354" s="31" t="str">
        <f t="shared" si="16"/>
        <v>Thursday</v>
      </c>
      <c r="D354" s="32">
        <f t="shared" si="17"/>
        <v>1</v>
      </c>
      <c r="E354" s="33"/>
      <c r="F354" s="34" t="s">
        <v>217</v>
      </c>
      <c r="G354" s="34"/>
    </row>
    <row r="355" ht="15.75" customHeight="1">
      <c r="A355" s="30">
        <v>45287.0</v>
      </c>
      <c r="B355" s="30">
        <v>45288.0</v>
      </c>
      <c r="C355" s="31" t="str">
        <f t="shared" si="16"/>
        <v>Wednesday</v>
      </c>
      <c r="D355" s="32">
        <f t="shared" si="17"/>
        <v>1</v>
      </c>
      <c r="E355" s="33"/>
      <c r="F355" s="34" t="s">
        <v>355</v>
      </c>
      <c r="G355" s="34"/>
    </row>
    <row r="356" ht="15.75" customHeight="1">
      <c r="A356" s="30">
        <v>45286.0</v>
      </c>
      <c r="B356" s="30">
        <v>45287.0</v>
      </c>
      <c r="C356" s="31" t="str">
        <f t="shared" si="16"/>
        <v>Tuesday</v>
      </c>
      <c r="D356" s="32">
        <f t="shared" si="17"/>
        <v>1</v>
      </c>
      <c r="E356" s="33"/>
      <c r="F356" s="34" t="s">
        <v>356</v>
      </c>
      <c r="G356" s="34"/>
    </row>
    <row r="357" ht="15.75" customHeight="1">
      <c r="A357" s="30">
        <v>45285.0</v>
      </c>
      <c r="B357" s="30">
        <v>45286.0</v>
      </c>
      <c r="C357" s="31" t="str">
        <f t="shared" si="16"/>
        <v>Monday</v>
      </c>
      <c r="D357" s="32">
        <f t="shared" si="17"/>
        <v>1</v>
      </c>
      <c r="E357" s="33"/>
      <c r="F357" s="34" t="s">
        <v>328</v>
      </c>
      <c r="G357" s="34"/>
    </row>
    <row r="358" ht="15.75" customHeight="1">
      <c r="A358" s="30">
        <v>45284.0</v>
      </c>
      <c r="B358" s="30">
        <v>45285.0</v>
      </c>
      <c r="C358" s="31" t="str">
        <f t="shared" si="16"/>
        <v>Sunday</v>
      </c>
      <c r="D358" s="32">
        <f t="shared" si="17"/>
        <v>1</v>
      </c>
      <c r="E358" s="33"/>
      <c r="F358" s="34" t="s">
        <v>267</v>
      </c>
      <c r="G358" s="34"/>
    </row>
    <row r="359" ht="15.75" customHeight="1">
      <c r="A359" s="30">
        <v>45283.0</v>
      </c>
      <c r="B359" s="30">
        <v>45284.0</v>
      </c>
      <c r="C359" s="31" t="str">
        <f t="shared" si="16"/>
        <v>Saturday</v>
      </c>
      <c r="D359" s="32">
        <f t="shared" si="17"/>
        <v>1</v>
      </c>
      <c r="E359" s="33" t="s">
        <v>9</v>
      </c>
      <c r="F359" s="34" t="s">
        <v>357</v>
      </c>
      <c r="G359" s="34"/>
    </row>
    <row r="360" ht="15.75" customHeight="1">
      <c r="A360" s="30">
        <v>45282.0</v>
      </c>
      <c r="B360" s="30">
        <v>45283.0</v>
      </c>
      <c r="C360" s="31" t="str">
        <f t="shared" si="16"/>
        <v>Friday</v>
      </c>
      <c r="D360" s="32">
        <f t="shared" si="17"/>
        <v>1</v>
      </c>
      <c r="E360" s="33"/>
      <c r="F360" s="34" t="s">
        <v>358</v>
      </c>
      <c r="G360" s="34"/>
    </row>
    <row r="361" ht="15.75" customHeight="1">
      <c r="A361" s="30">
        <v>45281.0</v>
      </c>
      <c r="B361" s="30">
        <v>45282.0</v>
      </c>
      <c r="C361" s="31" t="str">
        <f t="shared" si="16"/>
        <v>Thursday</v>
      </c>
      <c r="D361" s="32">
        <f t="shared" si="17"/>
        <v>1</v>
      </c>
      <c r="E361" s="33"/>
      <c r="F361" s="34" t="s">
        <v>359</v>
      </c>
      <c r="G361" s="32"/>
    </row>
    <row r="362" ht="15.75" customHeight="1">
      <c r="A362" s="30">
        <v>45280.0</v>
      </c>
      <c r="B362" s="30">
        <v>45281.0</v>
      </c>
      <c r="C362" s="31" t="str">
        <f t="shared" si="16"/>
        <v>Wednesday</v>
      </c>
      <c r="D362" s="32">
        <f t="shared" si="17"/>
        <v>1</v>
      </c>
      <c r="E362" s="33"/>
      <c r="F362" s="34" t="s">
        <v>293</v>
      </c>
      <c r="G362" s="32"/>
    </row>
    <row r="363" ht="15.75" customHeight="1">
      <c r="A363" s="30">
        <v>45273.0</v>
      </c>
      <c r="B363" s="30">
        <v>45279.0</v>
      </c>
      <c r="C363" s="31" t="str">
        <f t="shared" si="16"/>
        <v>Wednesday</v>
      </c>
      <c r="D363" s="32">
        <f t="shared" si="17"/>
        <v>6</v>
      </c>
      <c r="E363" s="33" t="s">
        <v>5</v>
      </c>
      <c r="F363" s="34" t="s">
        <v>360</v>
      </c>
      <c r="G363" s="60" t="s">
        <v>361</v>
      </c>
    </row>
    <row r="364" ht="15.75" customHeight="1">
      <c r="A364" s="30"/>
      <c r="B364" s="30"/>
      <c r="C364" s="31" t="str">
        <f t="shared" si="16"/>
        <v/>
      </c>
      <c r="D364" s="32" t="str">
        <f t="shared" si="17"/>
        <v/>
      </c>
      <c r="E364" s="33" t="s">
        <v>7</v>
      </c>
      <c r="F364" s="34"/>
      <c r="G364" s="60" t="s">
        <v>362</v>
      </c>
    </row>
    <row r="365" ht="15.75" customHeight="1">
      <c r="A365" s="30"/>
      <c r="B365" s="30"/>
      <c r="C365" s="31" t="str">
        <f t="shared" si="16"/>
        <v/>
      </c>
      <c r="D365" s="32" t="str">
        <f t="shared" si="17"/>
        <v/>
      </c>
      <c r="E365" s="33" t="s">
        <v>7</v>
      </c>
      <c r="F365" s="34"/>
      <c r="G365" s="60" t="s">
        <v>363</v>
      </c>
    </row>
    <row r="366" ht="15.75" customHeight="1">
      <c r="A366" s="49">
        <v>45267.0</v>
      </c>
      <c r="B366" s="49">
        <v>45291.0</v>
      </c>
      <c r="C366" s="50" t="str">
        <f t="shared" si="16"/>
        <v>Thursday</v>
      </c>
      <c r="D366" s="12">
        <f t="shared" si="17"/>
        <v>24</v>
      </c>
      <c r="E366" s="13" t="s">
        <v>21</v>
      </c>
      <c r="F366" s="14" t="s">
        <v>364</v>
      </c>
      <c r="G366" s="14" t="s">
        <v>365</v>
      </c>
    </row>
    <row r="367" ht="15.75" customHeight="1">
      <c r="A367" s="36">
        <v>45267.0</v>
      </c>
      <c r="B367" s="36">
        <v>45273.0</v>
      </c>
      <c r="C367" s="37" t="str">
        <f t="shared" si="16"/>
        <v>Thursday</v>
      </c>
      <c r="D367" s="7">
        <f t="shared" si="17"/>
        <v>6</v>
      </c>
      <c r="E367" s="8"/>
      <c r="F367" s="9" t="s">
        <v>366</v>
      </c>
      <c r="G367" s="7"/>
    </row>
    <row r="368" ht="15.75" customHeight="1">
      <c r="A368" s="36"/>
      <c r="B368" s="36"/>
      <c r="C368" s="37" t="str">
        <f t="shared" si="16"/>
        <v/>
      </c>
      <c r="D368" s="7" t="str">
        <f t="shared" si="17"/>
        <v/>
      </c>
      <c r="E368" s="8"/>
      <c r="F368" s="9" t="s">
        <v>367</v>
      </c>
      <c r="G368" s="7"/>
    </row>
    <row r="369" ht="15.75" customHeight="1">
      <c r="A369" s="49">
        <v>45261.0</v>
      </c>
      <c r="B369" s="49">
        <v>45300.0</v>
      </c>
      <c r="C369" s="50" t="str">
        <f t="shared" si="16"/>
        <v>Friday</v>
      </c>
      <c r="D369" s="12">
        <f t="shared" si="17"/>
        <v>39</v>
      </c>
      <c r="E369" s="13" t="s">
        <v>21</v>
      </c>
      <c r="F369" s="14" t="s">
        <v>368</v>
      </c>
      <c r="G369" s="12"/>
    </row>
    <row r="370" ht="15.75" customHeight="1">
      <c r="A370" s="36">
        <v>45260.0</v>
      </c>
      <c r="B370" s="36">
        <v>45267.0</v>
      </c>
      <c r="C370" s="37" t="str">
        <f t="shared" si="16"/>
        <v>Thursday</v>
      </c>
      <c r="D370" s="7">
        <f t="shared" si="17"/>
        <v>7</v>
      </c>
      <c r="E370" s="8"/>
      <c r="F370" s="9" t="s">
        <v>369</v>
      </c>
      <c r="G370" s="7"/>
    </row>
    <row r="371" ht="15.75" customHeight="1">
      <c r="A371" s="36"/>
      <c r="B371" s="36"/>
      <c r="C371" s="37" t="str">
        <f t="shared" si="16"/>
        <v/>
      </c>
      <c r="D371" s="7" t="str">
        <f t="shared" si="17"/>
        <v/>
      </c>
      <c r="E371" s="8"/>
      <c r="F371" s="9" t="s">
        <v>370</v>
      </c>
      <c r="G371" s="7"/>
    </row>
    <row r="372" ht="15.75" customHeight="1">
      <c r="A372" s="36">
        <v>45253.0</v>
      </c>
      <c r="B372" s="36">
        <v>45260.0</v>
      </c>
      <c r="C372" s="37" t="str">
        <f t="shared" si="16"/>
        <v>Thursday</v>
      </c>
      <c r="D372" s="7">
        <f t="shared" si="17"/>
        <v>7</v>
      </c>
      <c r="E372" s="8"/>
      <c r="F372" s="9" t="s">
        <v>371</v>
      </c>
      <c r="G372" s="7"/>
    </row>
    <row r="373" ht="15.75" customHeight="1">
      <c r="A373" s="36">
        <v>45246.0</v>
      </c>
      <c r="B373" s="36">
        <v>45253.0</v>
      </c>
      <c r="C373" s="37" t="str">
        <f t="shared" si="16"/>
        <v>Thursday</v>
      </c>
      <c r="D373" s="7">
        <f t="shared" si="17"/>
        <v>7</v>
      </c>
      <c r="E373" s="8"/>
      <c r="F373" s="9" t="s">
        <v>372</v>
      </c>
      <c r="G373" s="7"/>
    </row>
    <row r="374" ht="15.75" customHeight="1">
      <c r="A374" s="36"/>
      <c r="B374" s="36"/>
      <c r="C374" s="37" t="str">
        <f t="shared" si="16"/>
        <v/>
      </c>
      <c r="D374" s="7" t="str">
        <f t="shared" si="17"/>
        <v/>
      </c>
      <c r="E374" s="8"/>
      <c r="F374" s="9" t="s">
        <v>373</v>
      </c>
      <c r="G374" s="7"/>
    </row>
    <row r="375" ht="15.75" customHeight="1">
      <c r="A375" s="49">
        <v>45245.0</v>
      </c>
      <c r="B375" s="49">
        <v>45245.0</v>
      </c>
      <c r="C375" s="50" t="str">
        <f t="shared" si="16"/>
        <v>Wednesday</v>
      </c>
      <c r="D375" s="12">
        <f t="shared" si="17"/>
        <v>0</v>
      </c>
      <c r="E375" s="13" t="s">
        <v>17</v>
      </c>
      <c r="F375" s="14" t="s">
        <v>374</v>
      </c>
      <c r="G375" s="14" t="s">
        <v>375</v>
      </c>
    </row>
    <row r="376" ht="15.75" customHeight="1">
      <c r="A376" s="36">
        <v>45239.0</v>
      </c>
      <c r="B376" s="36">
        <v>45246.0</v>
      </c>
      <c r="C376" s="37" t="str">
        <f t="shared" si="16"/>
        <v>Thursday</v>
      </c>
      <c r="D376" s="7">
        <f t="shared" si="17"/>
        <v>7</v>
      </c>
      <c r="E376" s="8"/>
      <c r="F376" s="9" t="s">
        <v>376</v>
      </c>
      <c r="G376" s="7"/>
    </row>
    <row r="377" ht="15.75" customHeight="1">
      <c r="A377" s="36">
        <v>45232.0</v>
      </c>
      <c r="B377" s="36">
        <v>45239.0</v>
      </c>
      <c r="C377" s="37" t="str">
        <f t="shared" si="16"/>
        <v>Thursday</v>
      </c>
      <c r="D377" s="7">
        <f t="shared" si="17"/>
        <v>7</v>
      </c>
      <c r="E377" s="8"/>
      <c r="F377" s="9" t="s">
        <v>377</v>
      </c>
      <c r="G377" s="9"/>
    </row>
    <row r="378" ht="15.75" customHeight="1">
      <c r="A378" s="36">
        <v>45225.0</v>
      </c>
      <c r="B378" s="36">
        <v>45232.0</v>
      </c>
      <c r="C378" s="37" t="str">
        <f t="shared" si="16"/>
        <v>Thursday</v>
      </c>
      <c r="D378" s="7">
        <f t="shared" si="17"/>
        <v>7</v>
      </c>
      <c r="E378" s="8"/>
      <c r="F378" s="9" t="s">
        <v>378</v>
      </c>
      <c r="G378" s="7"/>
    </row>
    <row r="379" ht="15.75" customHeight="1">
      <c r="A379" s="36"/>
      <c r="B379" s="36"/>
      <c r="C379" s="37" t="str">
        <f t="shared" si="16"/>
        <v/>
      </c>
      <c r="D379" s="7" t="str">
        <f t="shared" si="17"/>
        <v/>
      </c>
      <c r="E379" s="8"/>
      <c r="F379" s="9" t="s">
        <v>379</v>
      </c>
      <c r="G379" s="7"/>
    </row>
    <row r="380" ht="15.75" customHeight="1">
      <c r="A380" s="36">
        <v>45218.0</v>
      </c>
      <c r="B380" s="36">
        <v>45225.0</v>
      </c>
      <c r="C380" s="37" t="str">
        <f t="shared" si="16"/>
        <v>Thursday</v>
      </c>
      <c r="D380" s="7">
        <f t="shared" si="17"/>
        <v>7</v>
      </c>
      <c r="E380" s="8"/>
      <c r="F380" s="9" t="s">
        <v>380</v>
      </c>
      <c r="G380" s="7"/>
    </row>
    <row r="381" ht="15.75" customHeight="1">
      <c r="A381" s="36"/>
      <c r="B381" s="36"/>
      <c r="C381" s="37" t="str">
        <f t="shared" si="16"/>
        <v/>
      </c>
      <c r="D381" s="7" t="str">
        <f t="shared" si="17"/>
        <v/>
      </c>
      <c r="E381" s="8"/>
      <c r="F381" s="9" t="s">
        <v>381</v>
      </c>
      <c r="G381" s="7"/>
    </row>
    <row r="382" ht="15.75" customHeight="1">
      <c r="A382" s="36">
        <v>45211.0</v>
      </c>
      <c r="B382" s="36">
        <v>45218.0</v>
      </c>
      <c r="C382" s="37" t="str">
        <f t="shared" si="16"/>
        <v>Thursday</v>
      </c>
      <c r="D382" s="7">
        <f t="shared" si="17"/>
        <v>7</v>
      </c>
      <c r="E382" s="8"/>
      <c r="F382" s="9" t="s">
        <v>382</v>
      </c>
      <c r="G382" s="7"/>
    </row>
    <row r="383" ht="15.75" customHeight="1">
      <c r="A383" s="36"/>
      <c r="B383" s="36"/>
      <c r="C383" s="37" t="str">
        <f t="shared" si="16"/>
        <v/>
      </c>
      <c r="D383" s="7" t="str">
        <f t="shared" si="17"/>
        <v/>
      </c>
      <c r="E383" s="8"/>
      <c r="F383" s="9" t="s">
        <v>383</v>
      </c>
      <c r="G383" s="7"/>
    </row>
    <row r="384" ht="15.75" customHeight="1">
      <c r="A384" s="36">
        <v>45204.0</v>
      </c>
      <c r="B384" s="36">
        <v>45211.0</v>
      </c>
      <c r="C384" s="37" t="str">
        <f t="shared" si="16"/>
        <v>Thursday</v>
      </c>
      <c r="D384" s="7">
        <f t="shared" si="17"/>
        <v>7</v>
      </c>
      <c r="E384" s="8"/>
      <c r="F384" s="9" t="s">
        <v>384</v>
      </c>
      <c r="G384" s="7"/>
    </row>
    <row r="385" ht="15.75" customHeight="1">
      <c r="A385" s="36">
        <v>45197.0</v>
      </c>
      <c r="B385" s="36">
        <v>45204.0</v>
      </c>
      <c r="C385" s="37" t="str">
        <f t="shared" si="16"/>
        <v>Thursday</v>
      </c>
      <c r="D385" s="7">
        <f t="shared" si="17"/>
        <v>7</v>
      </c>
      <c r="E385" s="8"/>
      <c r="F385" s="9" t="s">
        <v>385</v>
      </c>
      <c r="G385" s="7"/>
    </row>
    <row r="386" ht="15.75" customHeight="1">
      <c r="A386" s="36"/>
      <c r="B386" s="36"/>
      <c r="C386" s="37" t="str">
        <f t="shared" si="16"/>
        <v/>
      </c>
      <c r="D386" s="7" t="str">
        <f t="shared" si="17"/>
        <v/>
      </c>
      <c r="E386" s="8"/>
      <c r="F386" s="9" t="s">
        <v>386</v>
      </c>
      <c r="G386" s="7"/>
    </row>
    <row r="387" ht="15.75" customHeight="1">
      <c r="A387" s="44">
        <v>45190.0</v>
      </c>
      <c r="B387" s="44">
        <v>45197.0</v>
      </c>
      <c r="C387" s="61" t="str">
        <f t="shared" si="16"/>
        <v>Thursday</v>
      </c>
      <c r="D387" s="62">
        <f t="shared" si="17"/>
        <v>7</v>
      </c>
      <c r="E387" s="63"/>
      <c r="F387" s="9" t="s">
        <v>387</v>
      </c>
      <c r="G387" s="7"/>
    </row>
    <row r="388" ht="15.75" customHeight="1">
      <c r="A388" s="44"/>
      <c r="B388" s="44"/>
      <c r="C388" s="61" t="str">
        <f t="shared" si="16"/>
        <v/>
      </c>
      <c r="D388" s="62" t="str">
        <f t="shared" si="17"/>
        <v/>
      </c>
      <c r="E388" s="63"/>
      <c r="F388" s="9" t="s">
        <v>84</v>
      </c>
      <c r="G388" s="7"/>
    </row>
    <row r="389" ht="15.75" customHeight="1">
      <c r="A389" s="49">
        <v>45183.0</v>
      </c>
      <c r="B389" s="49">
        <v>45212.0</v>
      </c>
      <c r="C389" s="50" t="str">
        <f t="shared" si="16"/>
        <v>Thursday</v>
      </c>
      <c r="D389" s="12">
        <f t="shared" si="17"/>
        <v>29</v>
      </c>
      <c r="E389" s="13" t="s">
        <v>17</v>
      </c>
      <c r="F389" s="14" t="s">
        <v>388</v>
      </c>
      <c r="G389" s="12"/>
    </row>
    <row r="390" ht="15.75" customHeight="1">
      <c r="A390" s="36">
        <v>45183.0</v>
      </c>
      <c r="B390" s="36">
        <v>45190.0</v>
      </c>
      <c r="C390" s="37" t="str">
        <f t="shared" si="16"/>
        <v>Thursday</v>
      </c>
      <c r="D390" s="7">
        <f t="shared" si="17"/>
        <v>7</v>
      </c>
      <c r="E390" s="8"/>
      <c r="F390" s="9" t="s">
        <v>389</v>
      </c>
      <c r="G390" s="7"/>
    </row>
    <row r="391" ht="15.75" customHeight="1">
      <c r="A391" s="36">
        <v>45176.0</v>
      </c>
      <c r="B391" s="36">
        <v>45183.0</v>
      </c>
      <c r="C391" s="37" t="str">
        <f t="shared" si="16"/>
        <v>Thursday</v>
      </c>
      <c r="D391" s="7">
        <f t="shared" si="17"/>
        <v>7</v>
      </c>
      <c r="E391" s="8"/>
      <c r="F391" s="9" t="s">
        <v>390</v>
      </c>
      <c r="G391" s="7"/>
    </row>
    <row r="392" ht="15.75" customHeight="1">
      <c r="A392" s="36">
        <v>45169.0</v>
      </c>
      <c r="B392" s="36">
        <v>45176.0</v>
      </c>
      <c r="C392" s="37" t="str">
        <f t="shared" si="16"/>
        <v>Thursday</v>
      </c>
      <c r="D392" s="7">
        <f t="shared" si="17"/>
        <v>7</v>
      </c>
      <c r="E392" s="8" t="s">
        <v>9</v>
      </c>
      <c r="F392" s="9" t="s">
        <v>391</v>
      </c>
      <c r="G392" s="7"/>
    </row>
    <row r="393" ht="15.75" customHeight="1">
      <c r="A393" s="36">
        <v>45162.0</v>
      </c>
      <c r="B393" s="36">
        <v>45169.0</v>
      </c>
      <c r="C393" s="37" t="str">
        <f t="shared" si="16"/>
        <v>Thursday</v>
      </c>
      <c r="D393" s="7">
        <f t="shared" si="17"/>
        <v>7</v>
      </c>
      <c r="E393" s="8"/>
      <c r="F393" s="9" t="s">
        <v>392</v>
      </c>
      <c r="G393" s="7"/>
    </row>
    <row r="394" ht="15.75" customHeight="1">
      <c r="A394" s="36">
        <v>45155.0</v>
      </c>
      <c r="B394" s="36">
        <v>45162.0</v>
      </c>
      <c r="C394" s="37" t="str">
        <f t="shared" si="16"/>
        <v>Thursday</v>
      </c>
      <c r="D394" s="7">
        <f t="shared" si="17"/>
        <v>7</v>
      </c>
      <c r="E394" s="8"/>
      <c r="F394" s="9" t="s">
        <v>393</v>
      </c>
      <c r="G394" s="7"/>
    </row>
    <row r="395" ht="15.75" customHeight="1">
      <c r="A395" s="36"/>
      <c r="B395" s="36"/>
      <c r="C395" s="37" t="str">
        <f t="shared" si="16"/>
        <v/>
      </c>
      <c r="D395" s="7" t="str">
        <f t="shared" si="17"/>
        <v/>
      </c>
      <c r="E395" s="8"/>
      <c r="F395" s="9" t="s">
        <v>394</v>
      </c>
      <c r="G395" s="7"/>
    </row>
    <row r="396" ht="15.75" customHeight="1">
      <c r="A396" s="36">
        <v>45148.0</v>
      </c>
      <c r="B396" s="36">
        <v>45155.0</v>
      </c>
      <c r="C396" s="37" t="str">
        <f t="shared" si="16"/>
        <v>Thursday</v>
      </c>
      <c r="D396" s="7">
        <f t="shared" si="17"/>
        <v>7</v>
      </c>
      <c r="E396" s="8" t="s">
        <v>9</v>
      </c>
      <c r="F396" s="9" t="s">
        <v>395</v>
      </c>
      <c r="G396" s="7"/>
    </row>
    <row r="397" ht="15.75" customHeight="1">
      <c r="A397" s="36"/>
      <c r="B397" s="36"/>
      <c r="C397" s="37" t="str">
        <f t="shared" si="16"/>
        <v/>
      </c>
      <c r="D397" s="7" t="str">
        <f t="shared" si="17"/>
        <v/>
      </c>
      <c r="E397" s="8"/>
      <c r="F397" s="9" t="s">
        <v>396</v>
      </c>
      <c r="G397" s="7"/>
    </row>
    <row r="398" ht="15.75" customHeight="1">
      <c r="A398" s="36">
        <v>45141.0</v>
      </c>
      <c r="B398" s="36">
        <v>45148.0</v>
      </c>
      <c r="C398" s="37" t="str">
        <f t="shared" si="16"/>
        <v>Thursday</v>
      </c>
      <c r="D398" s="7">
        <f t="shared" si="17"/>
        <v>7</v>
      </c>
      <c r="E398" s="8" t="s">
        <v>9</v>
      </c>
      <c r="F398" s="9" t="s">
        <v>90</v>
      </c>
      <c r="G398" s="7"/>
    </row>
    <row r="399" ht="15.75" customHeight="1">
      <c r="A399" s="36"/>
      <c r="B399" s="36"/>
      <c r="C399" s="37" t="str">
        <f t="shared" si="16"/>
        <v/>
      </c>
      <c r="D399" s="7" t="str">
        <f t="shared" si="17"/>
        <v/>
      </c>
      <c r="E399" s="8" t="s">
        <v>9</v>
      </c>
      <c r="F399" s="9" t="s">
        <v>206</v>
      </c>
      <c r="G399" s="7"/>
    </row>
    <row r="400" ht="15.75" customHeight="1">
      <c r="A400" s="36">
        <v>45134.0</v>
      </c>
      <c r="B400" s="36">
        <v>45141.0</v>
      </c>
      <c r="C400" s="37" t="str">
        <f t="shared" si="16"/>
        <v>Thursday</v>
      </c>
      <c r="D400" s="7">
        <f t="shared" si="17"/>
        <v>7</v>
      </c>
      <c r="E400" s="8"/>
      <c r="F400" s="9" t="s">
        <v>397</v>
      </c>
      <c r="G400" s="7"/>
    </row>
    <row r="401" ht="15.75" customHeight="1">
      <c r="A401" s="36"/>
      <c r="B401" s="36"/>
      <c r="C401" s="37" t="str">
        <f t="shared" si="16"/>
        <v/>
      </c>
      <c r="D401" s="7" t="str">
        <f t="shared" si="17"/>
        <v/>
      </c>
      <c r="E401" s="8" t="s">
        <v>9</v>
      </c>
      <c r="F401" s="9" t="s">
        <v>398</v>
      </c>
      <c r="G401" s="7"/>
    </row>
    <row r="402" ht="15.75" customHeight="1">
      <c r="A402" s="36">
        <v>45127.0</v>
      </c>
      <c r="B402" s="36">
        <v>45134.0</v>
      </c>
      <c r="C402" s="37" t="str">
        <f t="shared" si="16"/>
        <v>Thursday</v>
      </c>
      <c r="D402" s="7">
        <f t="shared" si="17"/>
        <v>7</v>
      </c>
      <c r="E402" s="8"/>
      <c r="F402" s="9" t="s">
        <v>399</v>
      </c>
      <c r="G402" s="7"/>
    </row>
    <row r="403" ht="15.75" customHeight="1">
      <c r="A403" s="36"/>
      <c r="B403" s="36"/>
      <c r="C403" s="37" t="str">
        <f t="shared" si="16"/>
        <v/>
      </c>
      <c r="D403" s="7" t="str">
        <f t="shared" si="17"/>
        <v/>
      </c>
      <c r="E403" s="8"/>
      <c r="F403" s="9" t="s">
        <v>400</v>
      </c>
      <c r="G403" s="7"/>
    </row>
    <row r="404" ht="15.75" customHeight="1">
      <c r="A404" s="36">
        <v>45120.0</v>
      </c>
      <c r="B404" s="36">
        <v>45127.0</v>
      </c>
      <c r="C404" s="37" t="str">
        <f t="shared" si="16"/>
        <v>Thursday</v>
      </c>
      <c r="D404" s="7">
        <f t="shared" si="17"/>
        <v>7</v>
      </c>
      <c r="E404" s="8"/>
      <c r="F404" s="9" t="s">
        <v>401</v>
      </c>
      <c r="G404" s="7"/>
    </row>
    <row r="405" ht="15.75" customHeight="1">
      <c r="A405" s="36">
        <v>45113.0</v>
      </c>
      <c r="B405" s="36">
        <v>45120.0</v>
      </c>
      <c r="C405" s="37" t="str">
        <f t="shared" si="16"/>
        <v>Thursday</v>
      </c>
      <c r="D405" s="7">
        <f t="shared" si="17"/>
        <v>7</v>
      </c>
      <c r="E405" s="8"/>
      <c r="F405" s="9" t="s">
        <v>402</v>
      </c>
      <c r="G405" s="7"/>
    </row>
    <row r="406" ht="15.75" customHeight="1">
      <c r="A406" s="36">
        <v>45106.0</v>
      </c>
      <c r="B406" s="36">
        <v>45113.0</v>
      </c>
      <c r="C406" s="37" t="str">
        <f t="shared" si="16"/>
        <v>Thursday</v>
      </c>
      <c r="D406" s="7">
        <f t="shared" si="17"/>
        <v>7</v>
      </c>
      <c r="E406" s="8"/>
      <c r="F406" s="9" t="s">
        <v>403</v>
      </c>
      <c r="G406" s="7"/>
    </row>
    <row r="407" ht="15.75" customHeight="1">
      <c r="A407" s="36">
        <v>45099.0</v>
      </c>
      <c r="B407" s="36">
        <v>45106.0</v>
      </c>
      <c r="C407" s="37" t="str">
        <f t="shared" si="16"/>
        <v>Thursday</v>
      </c>
      <c r="D407" s="7">
        <f t="shared" si="17"/>
        <v>7</v>
      </c>
      <c r="E407" s="8" t="s">
        <v>5</v>
      </c>
      <c r="F407" s="64" t="s">
        <v>404</v>
      </c>
      <c r="G407" s="7"/>
    </row>
    <row r="408" ht="15.75" customHeight="1">
      <c r="A408" s="36"/>
      <c r="B408" s="36"/>
      <c r="C408" s="37" t="str">
        <f t="shared" si="16"/>
        <v/>
      </c>
      <c r="D408" s="7" t="str">
        <f t="shared" si="17"/>
        <v/>
      </c>
      <c r="E408" s="8" t="s">
        <v>9</v>
      </c>
      <c r="F408" s="9" t="s">
        <v>405</v>
      </c>
      <c r="G408" s="7"/>
    </row>
    <row r="409" ht="15.75" customHeight="1">
      <c r="A409" s="36">
        <v>45092.0</v>
      </c>
      <c r="B409" s="36">
        <v>45099.0</v>
      </c>
      <c r="C409" s="37" t="str">
        <f t="shared" si="16"/>
        <v>Thursday</v>
      </c>
      <c r="D409" s="7">
        <f t="shared" si="17"/>
        <v>7</v>
      </c>
      <c r="E409" s="8"/>
      <c r="F409" s="9" t="s">
        <v>406</v>
      </c>
      <c r="G409" s="9"/>
    </row>
    <row r="410" ht="15.75" customHeight="1">
      <c r="A410" s="36"/>
      <c r="B410" s="36"/>
      <c r="C410" s="37" t="str">
        <f t="shared" si="16"/>
        <v/>
      </c>
      <c r="D410" s="7" t="str">
        <f t="shared" si="17"/>
        <v/>
      </c>
      <c r="E410" s="8"/>
      <c r="F410" s="9" t="s">
        <v>407</v>
      </c>
      <c r="G410" s="7"/>
    </row>
    <row r="411" ht="15.75" customHeight="1">
      <c r="A411" s="30">
        <v>45085.0</v>
      </c>
      <c r="B411" s="30">
        <v>45092.0</v>
      </c>
      <c r="C411" s="31" t="str">
        <f t="shared" si="16"/>
        <v>Thursday</v>
      </c>
      <c r="D411" s="32">
        <f t="shared" si="17"/>
        <v>7</v>
      </c>
      <c r="E411" s="33"/>
      <c r="F411" s="34" t="s">
        <v>408</v>
      </c>
      <c r="G411" s="32"/>
    </row>
    <row r="412" ht="15.75" customHeight="1">
      <c r="A412" s="30">
        <v>45078.0</v>
      </c>
      <c r="B412" s="30">
        <v>45085.0</v>
      </c>
      <c r="C412" s="31" t="str">
        <f t="shared" si="16"/>
        <v>Thursday</v>
      </c>
      <c r="D412" s="32">
        <f t="shared" si="17"/>
        <v>7</v>
      </c>
      <c r="E412" s="33"/>
      <c r="F412" s="34" t="s">
        <v>409</v>
      </c>
      <c r="G412" s="32"/>
    </row>
    <row r="413" ht="15.75" customHeight="1">
      <c r="A413" s="49">
        <v>45072.0</v>
      </c>
      <c r="B413" s="49">
        <v>45079.0</v>
      </c>
      <c r="C413" s="50" t="str">
        <f t="shared" si="16"/>
        <v>Friday</v>
      </c>
      <c r="D413" s="12">
        <f t="shared" si="17"/>
        <v>7</v>
      </c>
      <c r="E413" s="13" t="s">
        <v>21</v>
      </c>
      <c r="F413" s="14" t="s">
        <v>410</v>
      </c>
      <c r="G413" s="12"/>
    </row>
    <row r="414" ht="15.75" customHeight="1">
      <c r="A414" s="30">
        <v>45071.0</v>
      </c>
      <c r="B414" s="30">
        <v>45078.0</v>
      </c>
      <c r="C414" s="31" t="str">
        <f t="shared" si="16"/>
        <v>Thursday</v>
      </c>
      <c r="D414" s="32">
        <f t="shared" si="17"/>
        <v>7</v>
      </c>
      <c r="E414" s="33"/>
      <c r="F414" s="34" t="s">
        <v>411</v>
      </c>
      <c r="G414" s="32"/>
    </row>
    <row r="415" ht="15.75" customHeight="1">
      <c r="A415" s="30">
        <v>45064.0</v>
      </c>
      <c r="B415" s="30">
        <v>45071.0</v>
      </c>
      <c r="C415" s="31" t="str">
        <f t="shared" si="16"/>
        <v>Thursday</v>
      </c>
      <c r="D415" s="32">
        <f t="shared" si="17"/>
        <v>7</v>
      </c>
      <c r="E415" s="33" t="s">
        <v>9</v>
      </c>
      <c r="F415" s="34" t="s">
        <v>412</v>
      </c>
      <c r="G415" s="32"/>
    </row>
    <row r="416" ht="15.75" customHeight="1">
      <c r="A416" s="48">
        <v>45057.0</v>
      </c>
      <c r="B416" s="36">
        <v>45064.0</v>
      </c>
      <c r="C416" s="37" t="str">
        <f t="shared" si="16"/>
        <v>Thursday</v>
      </c>
      <c r="D416" s="7">
        <f t="shared" si="17"/>
        <v>7</v>
      </c>
      <c r="E416" s="8" t="s">
        <v>5</v>
      </c>
      <c r="F416" s="9" t="s">
        <v>413</v>
      </c>
      <c r="G416" s="9" t="s">
        <v>414</v>
      </c>
    </row>
    <row r="417" ht="15.75" customHeight="1">
      <c r="A417" s="48"/>
      <c r="B417" s="36"/>
      <c r="C417" s="37" t="str">
        <f t="shared" si="16"/>
        <v/>
      </c>
      <c r="D417" s="7" t="str">
        <f t="shared" si="17"/>
        <v/>
      </c>
      <c r="E417" s="8" t="s">
        <v>7</v>
      </c>
      <c r="F417" s="9"/>
      <c r="G417" s="9" t="s">
        <v>415</v>
      </c>
    </row>
    <row r="418" ht="15.75" customHeight="1">
      <c r="A418" s="48"/>
      <c r="B418" s="36"/>
      <c r="C418" s="37" t="str">
        <f t="shared" si="16"/>
        <v/>
      </c>
      <c r="D418" s="7" t="str">
        <f t="shared" si="17"/>
        <v/>
      </c>
      <c r="E418" s="8" t="s">
        <v>7</v>
      </c>
      <c r="F418" s="9"/>
      <c r="G418" s="58" t="s">
        <v>416</v>
      </c>
    </row>
    <row r="419" ht="15.75" customHeight="1">
      <c r="A419" s="36">
        <v>45050.0</v>
      </c>
      <c r="B419" s="36">
        <v>45057.0</v>
      </c>
      <c r="C419" s="37" t="str">
        <f t="shared" si="16"/>
        <v>Thursday</v>
      </c>
      <c r="D419" s="7">
        <f t="shared" si="17"/>
        <v>7</v>
      </c>
      <c r="E419" s="8"/>
      <c r="F419" s="9" t="s">
        <v>417</v>
      </c>
      <c r="G419" s="7"/>
    </row>
    <row r="420" ht="15.75" customHeight="1">
      <c r="A420" s="36"/>
      <c r="B420" s="36"/>
      <c r="C420" s="37" t="str">
        <f t="shared" si="16"/>
        <v/>
      </c>
      <c r="D420" s="7" t="str">
        <f t="shared" si="17"/>
        <v/>
      </c>
      <c r="E420" s="8"/>
      <c r="F420" s="9" t="s">
        <v>418</v>
      </c>
      <c r="G420" s="7"/>
    </row>
    <row r="421" ht="15.75" customHeight="1">
      <c r="A421" s="36"/>
      <c r="B421" s="36"/>
      <c r="C421" s="37" t="str">
        <f t="shared" si="16"/>
        <v/>
      </c>
      <c r="D421" s="7" t="str">
        <f t="shared" si="17"/>
        <v/>
      </c>
      <c r="E421" s="8" t="s">
        <v>9</v>
      </c>
      <c r="F421" s="9" t="s">
        <v>419</v>
      </c>
      <c r="G421" s="7"/>
    </row>
    <row r="422" ht="15.75" customHeight="1">
      <c r="A422" s="48">
        <v>45043.0</v>
      </c>
      <c r="B422" s="36">
        <v>45050.0</v>
      </c>
      <c r="C422" s="37" t="str">
        <f t="shared" si="16"/>
        <v>Thursday</v>
      </c>
      <c r="D422" s="7">
        <f t="shared" si="17"/>
        <v>7</v>
      </c>
      <c r="E422" s="8"/>
      <c r="F422" s="9" t="s">
        <v>420</v>
      </c>
      <c r="G422" s="7"/>
    </row>
    <row r="423" ht="15.75" customHeight="1">
      <c r="A423" s="48"/>
      <c r="B423" s="36"/>
      <c r="C423" s="37" t="str">
        <f t="shared" si="16"/>
        <v/>
      </c>
      <c r="D423" s="7" t="str">
        <f t="shared" si="17"/>
        <v/>
      </c>
      <c r="E423" s="8"/>
      <c r="F423" s="9" t="s">
        <v>421</v>
      </c>
      <c r="G423" s="7"/>
    </row>
    <row r="424" ht="15.75" customHeight="1">
      <c r="A424" s="48">
        <v>45036.0</v>
      </c>
      <c r="B424" s="36">
        <v>45043.0</v>
      </c>
      <c r="C424" s="37" t="str">
        <f t="shared" si="16"/>
        <v>Thursday</v>
      </c>
      <c r="D424" s="7">
        <f t="shared" si="17"/>
        <v>7</v>
      </c>
      <c r="E424" s="8"/>
      <c r="F424" s="9" t="s">
        <v>235</v>
      </c>
      <c r="G424" s="7"/>
    </row>
    <row r="425" ht="15.75" customHeight="1">
      <c r="A425" s="48"/>
      <c r="B425" s="36"/>
      <c r="C425" s="37" t="str">
        <f t="shared" si="16"/>
        <v/>
      </c>
      <c r="D425" s="7" t="str">
        <f t="shared" si="17"/>
        <v/>
      </c>
      <c r="E425" s="8" t="s">
        <v>9</v>
      </c>
      <c r="F425" s="9" t="s">
        <v>422</v>
      </c>
      <c r="G425" s="7"/>
    </row>
    <row r="426" ht="15.75" customHeight="1">
      <c r="A426" s="65">
        <v>45029.0</v>
      </c>
      <c r="B426" s="44">
        <v>45036.0</v>
      </c>
      <c r="C426" s="61" t="str">
        <f t="shared" si="16"/>
        <v>Thursday</v>
      </c>
      <c r="D426" s="62">
        <f t="shared" si="17"/>
        <v>7</v>
      </c>
      <c r="E426" s="63"/>
      <c r="F426" s="9" t="s">
        <v>423</v>
      </c>
      <c r="G426" s="7"/>
    </row>
    <row r="427" ht="15.75" customHeight="1">
      <c r="A427" s="65"/>
      <c r="B427" s="44"/>
      <c r="C427" s="61" t="str">
        <f t="shared" si="16"/>
        <v/>
      </c>
      <c r="D427" s="62" t="str">
        <f t="shared" si="17"/>
        <v/>
      </c>
      <c r="E427" s="63" t="s">
        <v>9</v>
      </c>
      <c r="F427" s="9" t="s">
        <v>424</v>
      </c>
      <c r="G427" s="7"/>
    </row>
    <row r="428" ht="15.75" customHeight="1">
      <c r="A428" s="48">
        <v>45022.0</v>
      </c>
      <c r="B428" s="36">
        <v>45029.0</v>
      </c>
      <c r="C428" s="37" t="str">
        <f t="shared" si="16"/>
        <v>Thursday</v>
      </c>
      <c r="D428" s="7">
        <f t="shared" si="17"/>
        <v>7</v>
      </c>
      <c r="E428" s="8"/>
      <c r="F428" s="9" t="s">
        <v>425</v>
      </c>
      <c r="G428" s="7"/>
    </row>
    <row r="429" ht="15.75" customHeight="1">
      <c r="A429" s="48"/>
      <c r="B429" s="36"/>
      <c r="C429" s="37" t="str">
        <f t="shared" si="16"/>
        <v/>
      </c>
      <c r="D429" s="7" t="str">
        <f t="shared" si="17"/>
        <v/>
      </c>
      <c r="E429" s="8"/>
      <c r="F429" s="9" t="s">
        <v>171</v>
      </c>
      <c r="G429" s="7"/>
    </row>
    <row r="430" ht="15.75" customHeight="1">
      <c r="A430" s="48">
        <v>45015.0</v>
      </c>
      <c r="B430" s="36">
        <v>45022.0</v>
      </c>
      <c r="C430" s="37" t="str">
        <f t="shared" si="16"/>
        <v>Thursday</v>
      </c>
      <c r="D430" s="7">
        <f t="shared" si="17"/>
        <v>7</v>
      </c>
      <c r="E430" s="8"/>
      <c r="F430" s="9" t="s">
        <v>426</v>
      </c>
      <c r="G430" s="7"/>
    </row>
    <row r="431" ht="15.75" customHeight="1">
      <c r="A431" s="48"/>
      <c r="B431" s="36"/>
      <c r="C431" s="37" t="str">
        <f t="shared" si="16"/>
        <v/>
      </c>
      <c r="D431" s="7" t="str">
        <f t="shared" si="17"/>
        <v/>
      </c>
      <c r="E431" s="8"/>
      <c r="F431" s="9" t="s">
        <v>427</v>
      </c>
      <c r="G431" s="7"/>
    </row>
    <row r="432" ht="15.75" customHeight="1">
      <c r="A432" s="48">
        <v>45008.0</v>
      </c>
      <c r="B432" s="36">
        <v>45015.0</v>
      </c>
      <c r="C432" s="37" t="str">
        <f t="shared" si="16"/>
        <v>Thursday</v>
      </c>
      <c r="D432" s="7">
        <f t="shared" si="17"/>
        <v>7</v>
      </c>
      <c r="E432" s="8"/>
      <c r="F432" s="9" t="s">
        <v>428</v>
      </c>
      <c r="G432" s="7"/>
    </row>
    <row r="433" ht="15.75" customHeight="1">
      <c r="A433" s="48"/>
      <c r="B433" s="36"/>
      <c r="C433" s="37" t="str">
        <f t="shared" si="16"/>
        <v/>
      </c>
      <c r="D433" s="7" t="str">
        <f t="shared" si="17"/>
        <v/>
      </c>
      <c r="E433" s="8" t="s">
        <v>5</v>
      </c>
      <c r="F433" s="9" t="s">
        <v>429</v>
      </c>
      <c r="G433" s="7"/>
    </row>
    <row r="434" ht="15.75" customHeight="1">
      <c r="A434" s="48">
        <v>45001.0</v>
      </c>
      <c r="B434" s="36">
        <v>45008.0</v>
      </c>
      <c r="C434" s="37" t="str">
        <f t="shared" si="16"/>
        <v>Thursday</v>
      </c>
      <c r="D434" s="7">
        <f t="shared" si="17"/>
        <v>7</v>
      </c>
      <c r="E434" s="8"/>
      <c r="F434" s="9" t="s">
        <v>313</v>
      </c>
      <c r="G434" s="7"/>
    </row>
    <row r="435" ht="15.75" customHeight="1">
      <c r="A435" s="48">
        <v>44994.0</v>
      </c>
      <c r="B435" s="36">
        <v>45001.0</v>
      </c>
      <c r="C435" s="37" t="str">
        <f t="shared" si="16"/>
        <v>Thursday</v>
      </c>
      <c r="D435" s="7">
        <f t="shared" si="17"/>
        <v>7</v>
      </c>
      <c r="E435" s="8"/>
      <c r="F435" s="9" t="s">
        <v>430</v>
      </c>
      <c r="G435" s="7"/>
    </row>
    <row r="436" ht="15.75" customHeight="1">
      <c r="A436" s="66">
        <v>44994.0</v>
      </c>
      <c r="B436" s="49">
        <v>45023.0</v>
      </c>
      <c r="C436" s="50" t="str">
        <f t="shared" si="16"/>
        <v>Thursday</v>
      </c>
      <c r="D436" s="12">
        <f t="shared" si="17"/>
        <v>29</v>
      </c>
      <c r="E436" s="13" t="s">
        <v>21</v>
      </c>
      <c r="F436" s="14" t="s">
        <v>431</v>
      </c>
      <c r="G436" s="12"/>
    </row>
    <row r="437" ht="15.75" customHeight="1">
      <c r="A437" s="48">
        <v>44987.0</v>
      </c>
      <c r="B437" s="36">
        <v>44994.0</v>
      </c>
      <c r="C437" s="37" t="str">
        <f t="shared" si="16"/>
        <v>Thursday</v>
      </c>
      <c r="D437" s="7">
        <f t="shared" si="17"/>
        <v>7</v>
      </c>
      <c r="E437" s="8"/>
      <c r="F437" s="9" t="s">
        <v>432</v>
      </c>
      <c r="G437" s="7"/>
    </row>
    <row r="438" ht="15.75" customHeight="1">
      <c r="A438" s="48">
        <v>44980.0</v>
      </c>
      <c r="B438" s="36">
        <v>44987.0</v>
      </c>
      <c r="C438" s="37" t="str">
        <f t="shared" si="16"/>
        <v>Thursday</v>
      </c>
      <c r="D438" s="7">
        <f t="shared" si="17"/>
        <v>7</v>
      </c>
      <c r="E438" s="8"/>
      <c r="F438" s="9" t="s">
        <v>433</v>
      </c>
      <c r="G438" s="7"/>
    </row>
    <row r="439" ht="15.75" customHeight="1">
      <c r="A439" s="36">
        <v>44973.0</v>
      </c>
      <c r="B439" s="36">
        <v>44980.0</v>
      </c>
      <c r="C439" s="37" t="str">
        <f t="shared" si="16"/>
        <v>Thursday</v>
      </c>
      <c r="D439" s="7">
        <f t="shared" si="17"/>
        <v>7</v>
      </c>
      <c r="E439" s="8"/>
      <c r="F439" s="9" t="s">
        <v>434</v>
      </c>
      <c r="G439" s="7"/>
    </row>
    <row r="440" ht="15.75" customHeight="1">
      <c r="A440" s="36">
        <v>44966.0</v>
      </c>
      <c r="B440" s="36">
        <v>44973.0</v>
      </c>
      <c r="C440" s="37" t="str">
        <f t="shared" si="16"/>
        <v>Thursday</v>
      </c>
      <c r="D440" s="7">
        <f t="shared" si="17"/>
        <v>7</v>
      </c>
      <c r="E440" s="8"/>
      <c r="F440" s="9" t="s">
        <v>435</v>
      </c>
      <c r="G440" s="7"/>
    </row>
    <row r="441" ht="15.75" customHeight="1">
      <c r="A441" s="36">
        <v>44959.0</v>
      </c>
      <c r="B441" s="36">
        <v>44966.0</v>
      </c>
      <c r="C441" s="37" t="str">
        <f t="shared" si="16"/>
        <v>Thursday</v>
      </c>
      <c r="D441" s="7">
        <f t="shared" si="17"/>
        <v>7</v>
      </c>
      <c r="E441" s="8"/>
      <c r="F441" s="9" t="s">
        <v>436</v>
      </c>
      <c r="G441" s="7"/>
    </row>
    <row r="442" ht="15.75" customHeight="1">
      <c r="A442" s="36"/>
      <c r="B442" s="36"/>
      <c r="C442" s="37" t="str">
        <f t="shared" si="16"/>
        <v/>
      </c>
      <c r="D442" s="7" t="str">
        <f t="shared" si="17"/>
        <v/>
      </c>
      <c r="E442" s="8"/>
      <c r="F442" s="9" t="s">
        <v>437</v>
      </c>
      <c r="G442" s="7"/>
    </row>
    <row r="443" ht="15.75" customHeight="1">
      <c r="A443" s="36">
        <v>44952.0</v>
      </c>
      <c r="B443" s="36">
        <v>44959.0</v>
      </c>
      <c r="C443" s="37" t="str">
        <f t="shared" si="16"/>
        <v>Thursday</v>
      </c>
      <c r="D443" s="7">
        <f t="shared" si="17"/>
        <v>7</v>
      </c>
      <c r="E443" s="8"/>
      <c r="F443" s="9" t="s">
        <v>438</v>
      </c>
      <c r="G443" s="7"/>
    </row>
    <row r="444" ht="15.75" customHeight="1">
      <c r="A444" s="36"/>
      <c r="B444" s="36"/>
      <c r="C444" s="37" t="str">
        <f t="shared" si="16"/>
        <v/>
      </c>
      <c r="D444" s="7" t="str">
        <f t="shared" si="17"/>
        <v/>
      </c>
      <c r="E444" s="8"/>
      <c r="F444" s="9" t="s">
        <v>439</v>
      </c>
      <c r="G444" s="7"/>
    </row>
    <row r="445" ht="15.75" customHeight="1">
      <c r="A445" s="49">
        <v>44951.0</v>
      </c>
      <c r="B445" s="49">
        <v>44964.0</v>
      </c>
      <c r="C445" s="50" t="str">
        <f t="shared" si="16"/>
        <v>Wednesday</v>
      </c>
      <c r="D445" s="12">
        <f t="shared" si="17"/>
        <v>13</v>
      </c>
      <c r="E445" s="13" t="s">
        <v>21</v>
      </c>
      <c r="F445" s="14" t="s">
        <v>440</v>
      </c>
      <c r="G445" s="12"/>
    </row>
    <row r="446" ht="15.75" customHeight="1">
      <c r="A446" s="36">
        <v>44945.0</v>
      </c>
      <c r="B446" s="36">
        <v>44952.0</v>
      </c>
      <c r="C446" s="37" t="str">
        <f t="shared" si="16"/>
        <v>Thursday</v>
      </c>
      <c r="D446" s="7">
        <f t="shared" si="17"/>
        <v>7</v>
      </c>
      <c r="E446" s="8"/>
      <c r="F446" s="9" t="s">
        <v>441</v>
      </c>
      <c r="G446" s="7"/>
    </row>
    <row r="447" ht="15.75" customHeight="1">
      <c r="A447" s="36">
        <v>44938.0</v>
      </c>
      <c r="B447" s="36">
        <v>44945.0</v>
      </c>
      <c r="C447" s="37" t="str">
        <f t="shared" si="16"/>
        <v>Thursday</v>
      </c>
      <c r="D447" s="7">
        <f t="shared" si="17"/>
        <v>7</v>
      </c>
      <c r="E447" s="8" t="s">
        <v>11</v>
      </c>
      <c r="F447" s="9" t="s">
        <v>442</v>
      </c>
      <c r="G447" s="9"/>
    </row>
    <row r="448" ht="15.75" customHeight="1">
      <c r="A448" s="8"/>
      <c r="B448" s="8"/>
      <c r="C448" s="37" t="str">
        <f t="shared" si="16"/>
        <v/>
      </c>
      <c r="D448" s="7" t="str">
        <f t="shared" si="17"/>
        <v/>
      </c>
      <c r="E448" s="8"/>
      <c r="F448" s="9" t="s">
        <v>443</v>
      </c>
      <c r="G448" s="7"/>
    </row>
    <row r="449" ht="15.75" customHeight="1">
      <c r="A449" s="8"/>
      <c r="B449" s="8"/>
      <c r="C449" s="37" t="str">
        <f t="shared" si="16"/>
        <v/>
      </c>
      <c r="D449" s="7" t="str">
        <f t="shared" si="17"/>
        <v/>
      </c>
      <c r="E449" s="8"/>
      <c r="F449" s="9" t="s">
        <v>444</v>
      </c>
      <c r="G449" s="7"/>
    </row>
    <row r="450" ht="15.75" customHeight="1">
      <c r="A450" s="36">
        <v>44931.0</v>
      </c>
      <c r="B450" s="36">
        <v>44938.0</v>
      </c>
      <c r="C450" s="37" t="str">
        <f t="shared" si="16"/>
        <v>Thursday</v>
      </c>
      <c r="D450" s="7">
        <f t="shared" si="17"/>
        <v>7</v>
      </c>
      <c r="E450" s="8"/>
      <c r="F450" s="9" t="s">
        <v>445</v>
      </c>
      <c r="G450" s="9"/>
    </row>
    <row r="451" ht="15.75" customHeight="1">
      <c r="A451" s="8"/>
      <c r="B451" s="67"/>
      <c r="C451" s="37" t="str">
        <f t="shared" si="16"/>
        <v/>
      </c>
      <c r="D451" s="7" t="str">
        <f t="shared" si="17"/>
        <v/>
      </c>
      <c r="E451" s="8"/>
      <c r="F451" s="9" t="s">
        <v>446</v>
      </c>
      <c r="G451" s="9"/>
    </row>
    <row r="452" ht="15.75" customHeight="1">
      <c r="A452" s="30">
        <v>44924.0</v>
      </c>
      <c r="B452" s="30">
        <v>44931.0</v>
      </c>
      <c r="C452" s="31" t="str">
        <f t="shared" si="16"/>
        <v>Thursday</v>
      </c>
      <c r="D452" s="32">
        <f t="shared" si="17"/>
        <v>7</v>
      </c>
      <c r="E452" s="33"/>
      <c r="F452" s="60" t="s">
        <v>447</v>
      </c>
      <c r="G452" s="32"/>
    </row>
    <row r="453" ht="15.75" customHeight="1">
      <c r="A453" s="30"/>
      <c r="B453" s="30"/>
      <c r="C453" s="31" t="str">
        <f t="shared" si="16"/>
        <v/>
      </c>
      <c r="D453" s="32" t="str">
        <f t="shared" si="17"/>
        <v/>
      </c>
      <c r="E453" s="33"/>
      <c r="F453" s="34" t="s">
        <v>448</v>
      </c>
      <c r="G453" s="34"/>
    </row>
    <row r="454" ht="15.75" customHeight="1">
      <c r="A454" s="30">
        <v>44923.0</v>
      </c>
      <c r="B454" s="30">
        <v>44924.0</v>
      </c>
      <c r="C454" s="31" t="str">
        <f t="shared" si="16"/>
        <v>Wednesday</v>
      </c>
      <c r="D454" s="32">
        <f t="shared" si="17"/>
        <v>1</v>
      </c>
      <c r="E454" s="31"/>
      <c r="F454" s="34" t="s">
        <v>224</v>
      </c>
      <c r="G454" s="32"/>
    </row>
    <row r="455" ht="15.75" customHeight="1">
      <c r="A455" s="30">
        <v>44922.0</v>
      </c>
      <c r="B455" s="30">
        <v>44923.0</v>
      </c>
      <c r="C455" s="31" t="str">
        <f t="shared" si="16"/>
        <v>Tuesday</v>
      </c>
      <c r="D455" s="32">
        <f t="shared" si="17"/>
        <v>1</v>
      </c>
      <c r="E455" s="31"/>
      <c r="F455" s="34" t="s">
        <v>398</v>
      </c>
      <c r="G455" s="32"/>
    </row>
    <row r="456" ht="15.75" customHeight="1">
      <c r="A456" s="30">
        <v>44921.0</v>
      </c>
      <c r="B456" s="30">
        <v>44922.0</v>
      </c>
      <c r="C456" s="31" t="str">
        <f t="shared" si="16"/>
        <v>Monday</v>
      </c>
      <c r="D456" s="32">
        <f t="shared" si="17"/>
        <v>1</v>
      </c>
      <c r="E456" s="33"/>
      <c r="F456" s="34" t="s">
        <v>296</v>
      </c>
      <c r="G456" s="32"/>
    </row>
    <row r="457" ht="15.75" customHeight="1">
      <c r="A457" s="30">
        <v>44920.0</v>
      </c>
      <c r="B457" s="30">
        <v>44921.0</v>
      </c>
      <c r="C457" s="31" t="str">
        <f t="shared" si="16"/>
        <v>Sunday</v>
      </c>
      <c r="D457" s="32">
        <f t="shared" si="17"/>
        <v>1</v>
      </c>
      <c r="E457" s="31"/>
      <c r="F457" s="34" t="s">
        <v>412</v>
      </c>
      <c r="G457" s="32"/>
    </row>
    <row r="458" ht="15.75" customHeight="1">
      <c r="A458" s="49">
        <v>44920.0</v>
      </c>
      <c r="B458" s="49">
        <v>44920.0</v>
      </c>
      <c r="C458" s="50" t="str">
        <f t="shared" si="16"/>
        <v>Sunday</v>
      </c>
      <c r="D458" s="12">
        <f t="shared" si="17"/>
        <v>0</v>
      </c>
      <c r="E458" s="13" t="s">
        <v>17</v>
      </c>
      <c r="F458" s="14" t="s">
        <v>449</v>
      </c>
      <c r="G458" s="14" t="s">
        <v>450</v>
      </c>
    </row>
    <row r="459" ht="15.75" customHeight="1">
      <c r="A459" s="30">
        <v>44919.0</v>
      </c>
      <c r="B459" s="30">
        <v>44920.0</v>
      </c>
      <c r="C459" s="31" t="str">
        <f t="shared" si="16"/>
        <v>Saturday</v>
      </c>
      <c r="D459" s="32">
        <f t="shared" si="17"/>
        <v>1</v>
      </c>
      <c r="E459" s="33" t="s">
        <v>9</v>
      </c>
      <c r="F459" s="34" t="s">
        <v>451</v>
      </c>
      <c r="G459" s="34"/>
    </row>
    <row r="460" ht="15.75" customHeight="1">
      <c r="A460" s="30">
        <v>44918.0</v>
      </c>
      <c r="B460" s="30">
        <v>44919.0</v>
      </c>
      <c r="C460" s="31" t="str">
        <f t="shared" si="16"/>
        <v>Friday</v>
      </c>
      <c r="D460" s="32">
        <f t="shared" si="17"/>
        <v>1</v>
      </c>
      <c r="E460" s="31"/>
      <c r="F460" s="34" t="s">
        <v>452</v>
      </c>
      <c r="G460" s="34"/>
    </row>
    <row r="461" ht="15.75" customHeight="1">
      <c r="A461" s="30">
        <v>44917.0</v>
      </c>
      <c r="B461" s="30">
        <v>44918.0</v>
      </c>
      <c r="C461" s="31" t="str">
        <f t="shared" si="16"/>
        <v>Thursday</v>
      </c>
      <c r="D461" s="32">
        <f t="shared" si="17"/>
        <v>1</v>
      </c>
      <c r="E461" s="33"/>
      <c r="F461" s="34" t="s">
        <v>283</v>
      </c>
      <c r="G461" s="34" t="s">
        <v>284</v>
      </c>
    </row>
    <row r="462" ht="15.75" customHeight="1">
      <c r="A462" s="68"/>
      <c r="B462" s="68"/>
      <c r="C462" s="31" t="str">
        <f t="shared" si="16"/>
        <v/>
      </c>
      <c r="D462" s="32" t="str">
        <f t="shared" si="17"/>
        <v/>
      </c>
      <c r="E462" s="33"/>
      <c r="F462" s="69"/>
      <c r="G462" s="34" t="s">
        <v>285</v>
      </c>
    </row>
    <row r="463" ht="15.75" customHeight="1">
      <c r="A463" s="68"/>
      <c r="B463" s="68"/>
      <c r="C463" s="31" t="str">
        <f t="shared" si="16"/>
        <v/>
      </c>
      <c r="D463" s="32" t="str">
        <f t="shared" si="17"/>
        <v/>
      </c>
      <c r="E463" s="33"/>
      <c r="F463" s="69"/>
      <c r="G463" s="34" t="s">
        <v>286</v>
      </c>
    </row>
    <row r="464" ht="15.75" customHeight="1">
      <c r="A464" s="30">
        <v>44916.0</v>
      </c>
      <c r="B464" s="30">
        <v>44917.0</v>
      </c>
      <c r="C464" s="31" t="str">
        <f t="shared" si="16"/>
        <v>Wednesday</v>
      </c>
      <c r="D464" s="32">
        <f t="shared" si="17"/>
        <v>1</v>
      </c>
      <c r="E464" s="31"/>
      <c r="F464" s="34" t="s">
        <v>453</v>
      </c>
      <c r="G464" s="32"/>
    </row>
    <row r="465" ht="15.75" customHeight="1">
      <c r="A465" s="30">
        <v>44915.0</v>
      </c>
      <c r="B465" s="30">
        <v>44916.0</v>
      </c>
      <c r="C465" s="31" t="str">
        <f t="shared" si="16"/>
        <v>Tuesday</v>
      </c>
      <c r="D465" s="32">
        <f t="shared" si="17"/>
        <v>1</v>
      </c>
      <c r="E465" s="33" t="s">
        <v>9</v>
      </c>
      <c r="F465" s="34" t="s">
        <v>454</v>
      </c>
      <c r="G465" s="32"/>
    </row>
    <row r="466" ht="15.75" customHeight="1">
      <c r="A466" s="30">
        <v>44914.0</v>
      </c>
      <c r="B466" s="30">
        <v>44915.0</v>
      </c>
      <c r="C466" s="31" t="str">
        <f t="shared" si="16"/>
        <v>Monday</v>
      </c>
      <c r="D466" s="32">
        <f t="shared" si="17"/>
        <v>1</v>
      </c>
      <c r="E466" s="31"/>
      <c r="F466" s="34" t="s">
        <v>226</v>
      </c>
      <c r="G466" s="32"/>
    </row>
    <row r="467" ht="15.75" customHeight="1">
      <c r="A467" s="30">
        <v>44913.0</v>
      </c>
      <c r="B467" s="30">
        <v>44914.0</v>
      </c>
      <c r="C467" s="31" t="str">
        <f t="shared" si="16"/>
        <v>Sunday</v>
      </c>
      <c r="D467" s="32">
        <f t="shared" si="17"/>
        <v>1</v>
      </c>
      <c r="E467" s="31"/>
      <c r="F467" s="34" t="s">
        <v>168</v>
      </c>
      <c r="G467" s="32"/>
    </row>
    <row r="468" ht="15.75" customHeight="1">
      <c r="A468" s="30">
        <v>44912.0</v>
      </c>
      <c r="B468" s="30">
        <v>44913.0</v>
      </c>
      <c r="C468" s="31" t="str">
        <f t="shared" si="16"/>
        <v>Saturday</v>
      </c>
      <c r="D468" s="32">
        <f t="shared" si="17"/>
        <v>1</v>
      </c>
      <c r="E468" s="33" t="s">
        <v>9</v>
      </c>
      <c r="F468" s="34" t="s">
        <v>455</v>
      </c>
      <c r="G468" s="32"/>
    </row>
    <row r="469" ht="15.75" customHeight="1">
      <c r="A469" s="30">
        <v>44911.0</v>
      </c>
      <c r="B469" s="30">
        <v>44912.0</v>
      </c>
      <c r="C469" s="31" t="str">
        <f t="shared" si="16"/>
        <v>Friday</v>
      </c>
      <c r="D469" s="32">
        <f t="shared" si="17"/>
        <v>1</v>
      </c>
      <c r="E469" s="33" t="s">
        <v>9</v>
      </c>
      <c r="F469" s="34" t="s">
        <v>419</v>
      </c>
      <c r="G469" s="32"/>
    </row>
    <row r="470" ht="15.75" customHeight="1">
      <c r="A470" s="30">
        <v>44910.0</v>
      </c>
      <c r="B470" s="30">
        <v>44911.0</v>
      </c>
      <c r="C470" s="31" t="str">
        <f t="shared" si="16"/>
        <v>Thursday</v>
      </c>
      <c r="D470" s="32">
        <f t="shared" si="17"/>
        <v>1</v>
      </c>
      <c r="E470" s="31"/>
      <c r="F470" s="34" t="s">
        <v>90</v>
      </c>
      <c r="G470" s="32"/>
    </row>
    <row r="471" ht="15.75" customHeight="1">
      <c r="A471" s="36">
        <v>44903.0</v>
      </c>
      <c r="B471" s="36">
        <v>44910.0</v>
      </c>
      <c r="C471" s="37" t="str">
        <f t="shared" si="16"/>
        <v>Thursday</v>
      </c>
      <c r="D471" s="7">
        <f t="shared" si="17"/>
        <v>7</v>
      </c>
      <c r="E471" s="37"/>
      <c r="F471" s="9" t="s">
        <v>456</v>
      </c>
      <c r="G471" s="7"/>
    </row>
    <row r="472" ht="15.75" customHeight="1">
      <c r="A472" s="67"/>
      <c r="B472" s="67"/>
      <c r="C472" s="37" t="str">
        <f t="shared" si="16"/>
        <v/>
      </c>
      <c r="D472" s="7" t="str">
        <f t="shared" si="17"/>
        <v/>
      </c>
      <c r="E472" s="37"/>
      <c r="F472" s="9" t="s">
        <v>457</v>
      </c>
      <c r="G472" s="7"/>
    </row>
    <row r="473" ht="15.75" customHeight="1">
      <c r="A473" s="36">
        <v>44896.0</v>
      </c>
      <c r="B473" s="36">
        <v>44903.0</v>
      </c>
      <c r="C473" s="37" t="str">
        <f t="shared" si="16"/>
        <v>Thursday</v>
      </c>
      <c r="D473" s="7">
        <f t="shared" si="17"/>
        <v>7</v>
      </c>
      <c r="E473" s="37"/>
      <c r="F473" s="9" t="s">
        <v>458</v>
      </c>
      <c r="G473" s="7"/>
    </row>
    <row r="474" ht="15.75" customHeight="1">
      <c r="A474" s="67"/>
      <c r="B474" s="67"/>
      <c r="C474" s="37" t="str">
        <f t="shared" si="16"/>
        <v/>
      </c>
      <c r="D474" s="7" t="str">
        <f t="shared" si="17"/>
        <v/>
      </c>
      <c r="E474" s="37"/>
      <c r="F474" s="9" t="s">
        <v>459</v>
      </c>
      <c r="G474" s="7"/>
    </row>
    <row r="475" ht="15.75" customHeight="1">
      <c r="A475" s="36">
        <v>44889.0</v>
      </c>
      <c r="B475" s="36">
        <v>44896.0</v>
      </c>
      <c r="C475" s="37" t="str">
        <f t="shared" si="16"/>
        <v>Thursday</v>
      </c>
      <c r="D475" s="7">
        <f t="shared" si="17"/>
        <v>7</v>
      </c>
      <c r="E475" s="37"/>
      <c r="F475" s="9" t="s">
        <v>460</v>
      </c>
      <c r="G475" s="7"/>
    </row>
    <row r="476" ht="15.75" customHeight="1">
      <c r="A476" s="36">
        <v>44882.0</v>
      </c>
      <c r="B476" s="36">
        <v>44889.0</v>
      </c>
      <c r="C476" s="37" t="str">
        <f t="shared" si="16"/>
        <v>Thursday</v>
      </c>
      <c r="D476" s="7">
        <f t="shared" si="17"/>
        <v>7</v>
      </c>
      <c r="E476" s="37"/>
      <c r="F476" s="9" t="s">
        <v>461</v>
      </c>
      <c r="G476" s="7"/>
    </row>
    <row r="477" ht="15.75" customHeight="1">
      <c r="A477" s="67"/>
      <c r="B477" s="67"/>
      <c r="C477" s="37" t="str">
        <f t="shared" si="16"/>
        <v/>
      </c>
      <c r="D477" s="7" t="str">
        <f t="shared" si="17"/>
        <v/>
      </c>
      <c r="E477" s="37"/>
      <c r="F477" s="9" t="s">
        <v>462</v>
      </c>
      <c r="G477" s="7"/>
    </row>
    <row r="478" ht="15.75" customHeight="1">
      <c r="A478" s="67"/>
      <c r="B478" s="67"/>
      <c r="C478" s="37" t="str">
        <f t="shared" si="16"/>
        <v/>
      </c>
      <c r="D478" s="7" t="str">
        <f t="shared" si="17"/>
        <v/>
      </c>
      <c r="E478" s="8" t="s">
        <v>5</v>
      </c>
      <c r="F478" s="9" t="s">
        <v>463</v>
      </c>
      <c r="G478" s="7"/>
    </row>
    <row r="479" ht="15.75" customHeight="1">
      <c r="A479" s="36">
        <v>44875.0</v>
      </c>
      <c r="B479" s="36">
        <v>44882.0</v>
      </c>
      <c r="C479" s="37" t="str">
        <f t="shared" si="16"/>
        <v>Thursday</v>
      </c>
      <c r="D479" s="7">
        <f t="shared" si="17"/>
        <v>7</v>
      </c>
      <c r="E479" s="37"/>
      <c r="F479" s="9" t="s">
        <v>464</v>
      </c>
      <c r="G479" s="7"/>
    </row>
    <row r="480" ht="15.75" customHeight="1">
      <c r="A480" s="67"/>
      <c r="B480" s="67"/>
      <c r="C480" s="37" t="str">
        <f t="shared" si="16"/>
        <v/>
      </c>
      <c r="D480" s="7" t="str">
        <f t="shared" si="17"/>
        <v/>
      </c>
      <c r="E480" s="8" t="s">
        <v>9</v>
      </c>
      <c r="F480" s="9" t="s">
        <v>465</v>
      </c>
      <c r="G480" s="7"/>
    </row>
    <row r="481" ht="15.75" customHeight="1">
      <c r="A481" s="36">
        <v>44868.0</v>
      </c>
      <c r="B481" s="36">
        <v>44875.0</v>
      </c>
      <c r="C481" s="37" t="str">
        <f t="shared" si="16"/>
        <v>Thursday</v>
      </c>
      <c r="D481" s="7">
        <f t="shared" si="17"/>
        <v>7</v>
      </c>
      <c r="E481" s="37"/>
      <c r="F481" s="9" t="s">
        <v>466</v>
      </c>
      <c r="G481" s="7"/>
    </row>
    <row r="482" ht="15.75" customHeight="1">
      <c r="A482" s="67"/>
      <c r="B482" s="67"/>
      <c r="C482" s="37" t="str">
        <f t="shared" si="16"/>
        <v/>
      </c>
      <c r="D482" s="7" t="str">
        <f t="shared" si="17"/>
        <v/>
      </c>
      <c r="E482" s="8" t="s">
        <v>9</v>
      </c>
      <c r="F482" s="9" t="s">
        <v>467</v>
      </c>
      <c r="G482" s="7"/>
    </row>
    <row r="483" ht="15.75" customHeight="1">
      <c r="A483" s="36">
        <v>44861.0</v>
      </c>
      <c r="B483" s="36">
        <v>44868.0</v>
      </c>
      <c r="C483" s="37" t="str">
        <f t="shared" si="16"/>
        <v>Thursday</v>
      </c>
      <c r="D483" s="7">
        <f t="shared" si="17"/>
        <v>7</v>
      </c>
      <c r="E483" s="37"/>
      <c r="F483" s="9" t="s">
        <v>468</v>
      </c>
      <c r="G483" s="7"/>
    </row>
    <row r="484" ht="15.75" customHeight="1">
      <c r="A484" s="67"/>
      <c r="B484" s="67"/>
      <c r="C484" s="37" t="str">
        <f t="shared" si="16"/>
        <v/>
      </c>
      <c r="D484" s="7" t="str">
        <f t="shared" si="17"/>
        <v/>
      </c>
      <c r="E484" s="37"/>
      <c r="F484" s="9" t="s">
        <v>469</v>
      </c>
      <c r="G484" s="7"/>
    </row>
    <row r="485" ht="15.75" customHeight="1">
      <c r="A485" s="36">
        <v>44854.0</v>
      </c>
      <c r="B485" s="36">
        <v>44861.0</v>
      </c>
      <c r="C485" s="37" t="str">
        <f t="shared" si="16"/>
        <v>Thursday</v>
      </c>
      <c r="D485" s="7">
        <f t="shared" si="17"/>
        <v>7</v>
      </c>
      <c r="E485" s="37"/>
      <c r="F485" s="9" t="s">
        <v>470</v>
      </c>
      <c r="G485" s="7"/>
    </row>
    <row r="486" ht="15.75" customHeight="1">
      <c r="A486" s="67"/>
      <c r="B486" s="67"/>
      <c r="C486" s="37" t="str">
        <f t="shared" si="16"/>
        <v/>
      </c>
      <c r="D486" s="7" t="str">
        <f t="shared" si="17"/>
        <v/>
      </c>
      <c r="E486" s="37"/>
      <c r="F486" s="9" t="s">
        <v>357</v>
      </c>
      <c r="G486" s="7"/>
    </row>
    <row r="487" ht="15.75" customHeight="1">
      <c r="A487" s="36">
        <v>44847.0</v>
      </c>
      <c r="B487" s="36">
        <v>44854.0</v>
      </c>
      <c r="C487" s="37" t="str">
        <f t="shared" si="16"/>
        <v>Thursday</v>
      </c>
      <c r="D487" s="7">
        <f t="shared" si="17"/>
        <v>7</v>
      </c>
      <c r="E487" s="37"/>
      <c r="F487" s="9" t="s">
        <v>471</v>
      </c>
      <c r="G487" s="7"/>
    </row>
    <row r="488" ht="15.75" customHeight="1">
      <c r="A488" s="67"/>
      <c r="B488" s="67"/>
      <c r="C488" s="37" t="str">
        <f t="shared" si="16"/>
        <v/>
      </c>
      <c r="D488" s="7" t="str">
        <f t="shared" si="17"/>
        <v/>
      </c>
      <c r="E488" s="37"/>
      <c r="F488" s="9" t="s">
        <v>472</v>
      </c>
      <c r="G488" s="7"/>
    </row>
    <row r="489" ht="15.75" customHeight="1">
      <c r="A489" s="36">
        <v>44840.0</v>
      </c>
      <c r="B489" s="36">
        <v>44847.0</v>
      </c>
      <c r="C489" s="37" t="str">
        <f t="shared" si="16"/>
        <v>Thursday</v>
      </c>
      <c r="D489" s="7">
        <f t="shared" si="17"/>
        <v>7</v>
      </c>
      <c r="E489" s="37"/>
      <c r="F489" s="9" t="s">
        <v>473</v>
      </c>
      <c r="G489" s="7"/>
    </row>
    <row r="490" ht="15.75" customHeight="1">
      <c r="A490" s="67"/>
      <c r="B490" s="67"/>
      <c r="C490" s="37" t="str">
        <f t="shared" si="16"/>
        <v/>
      </c>
      <c r="D490" s="7" t="str">
        <f t="shared" si="17"/>
        <v/>
      </c>
      <c r="E490" s="37"/>
      <c r="F490" s="9" t="s">
        <v>474</v>
      </c>
      <c r="G490" s="7"/>
    </row>
    <row r="491" ht="15.75" customHeight="1">
      <c r="A491" s="36">
        <v>44833.0</v>
      </c>
      <c r="B491" s="36">
        <v>44840.0</v>
      </c>
      <c r="C491" s="37" t="str">
        <f t="shared" si="16"/>
        <v>Thursday</v>
      </c>
      <c r="D491" s="7">
        <f t="shared" si="17"/>
        <v>7</v>
      </c>
      <c r="E491" s="37"/>
      <c r="F491" s="9" t="s">
        <v>475</v>
      </c>
      <c r="G491" s="9"/>
    </row>
    <row r="492" ht="15.75" customHeight="1">
      <c r="A492" s="67"/>
      <c r="B492" s="67"/>
      <c r="C492" s="37" t="str">
        <f t="shared" si="16"/>
        <v/>
      </c>
      <c r="D492" s="7" t="str">
        <f t="shared" si="17"/>
        <v/>
      </c>
      <c r="E492" s="37"/>
      <c r="F492" s="9" t="s">
        <v>476</v>
      </c>
      <c r="G492" s="7"/>
    </row>
    <row r="493" ht="15.75" customHeight="1">
      <c r="A493" s="36">
        <v>44826.0</v>
      </c>
      <c r="B493" s="36">
        <v>44833.0</v>
      </c>
      <c r="C493" s="37" t="str">
        <f t="shared" si="16"/>
        <v>Thursday</v>
      </c>
      <c r="D493" s="7">
        <f t="shared" si="17"/>
        <v>7</v>
      </c>
      <c r="E493" s="8" t="s">
        <v>9</v>
      </c>
      <c r="F493" s="9" t="s">
        <v>477</v>
      </c>
      <c r="G493" s="7"/>
    </row>
    <row r="494" ht="15.75" customHeight="1">
      <c r="A494" s="67"/>
      <c r="B494" s="67"/>
      <c r="C494" s="37" t="str">
        <f t="shared" si="16"/>
        <v/>
      </c>
      <c r="D494" s="7" t="str">
        <f t="shared" si="17"/>
        <v/>
      </c>
      <c r="E494" s="37"/>
      <c r="F494" s="9" t="s">
        <v>478</v>
      </c>
      <c r="G494" s="7"/>
    </row>
    <row r="495" ht="15.75" customHeight="1">
      <c r="A495" s="36">
        <v>44819.0</v>
      </c>
      <c r="B495" s="36">
        <v>44826.0</v>
      </c>
      <c r="C495" s="37" t="str">
        <f t="shared" si="16"/>
        <v>Thursday</v>
      </c>
      <c r="D495" s="7">
        <f t="shared" si="17"/>
        <v>7</v>
      </c>
      <c r="E495" s="37"/>
      <c r="F495" s="9" t="s">
        <v>479</v>
      </c>
      <c r="G495" s="7"/>
    </row>
    <row r="496" ht="15.75" customHeight="1">
      <c r="A496" s="67"/>
      <c r="B496" s="67"/>
      <c r="C496" s="37" t="str">
        <f t="shared" si="16"/>
        <v/>
      </c>
      <c r="D496" s="7" t="str">
        <f t="shared" si="17"/>
        <v/>
      </c>
      <c r="E496" s="37"/>
      <c r="F496" s="9" t="s">
        <v>480</v>
      </c>
      <c r="G496" s="7"/>
    </row>
    <row r="497" ht="15.75" customHeight="1">
      <c r="A497" s="36">
        <v>44812.0</v>
      </c>
      <c r="B497" s="36">
        <v>44819.0</v>
      </c>
      <c r="C497" s="37" t="str">
        <f t="shared" si="16"/>
        <v>Thursday</v>
      </c>
      <c r="D497" s="7">
        <f t="shared" si="17"/>
        <v>7</v>
      </c>
      <c r="E497" s="37"/>
      <c r="F497" s="9" t="s">
        <v>481</v>
      </c>
      <c r="G497" s="7"/>
    </row>
    <row r="498" ht="15.75" customHeight="1">
      <c r="A498" s="36"/>
      <c r="B498" s="36"/>
      <c r="C498" s="37" t="str">
        <f t="shared" si="16"/>
        <v/>
      </c>
      <c r="D498" s="7" t="str">
        <f t="shared" si="17"/>
        <v/>
      </c>
      <c r="E498" s="8" t="s">
        <v>5</v>
      </c>
      <c r="F498" s="9" t="s">
        <v>482</v>
      </c>
      <c r="G498" s="7"/>
    </row>
    <row r="499" ht="15.75" customHeight="1">
      <c r="A499" s="36">
        <v>44805.0</v>
      </c>
      <c r="B499" s="36">
        <v>44812.0</v>
      </c>
      <c r="C499" s="37" t="str">
        <f t="shared" si="16"/>
        <v>Thursday</v>
      </c>
      <c r="D499" s="7">
        <f t="shared" si="17"/>
        <v>7</v>
      </c>
      <c r="E499" s="8" t="s">
        <v>11</v>
      </c>
      <c r="F499" s="9" t="s">
        <v>483</v>
      </c>
      <c r="G499" s="9"/>
    </row>
    <row r="500" ht="15.75" customHeight="1">
      <c r="A500" s="36"/>
      <c r="B500" s="36"/>
      <c r="C500" s="37" t="str">
        <f t="shared" si="16"/>
        <v/>
      </c>
      <c r="D500" s="7" t="str">
        <f t="shared" si="17"/>
        <v/>
      </c>
      <c r="E500" s="8" t="s">
        <v>9</v>
      </c>
      <c r="F500" s="9" t="s">
        <v>484</v>
      </c>
      <c r="G500" s="7"/>
    </row>
    <row r="501" ht="15.75" customHeight="1">
      <c r="A501" s="67"/>
      <c r="B501" s="67"/>
      <c r="C501" s="37" t="str">
        <f t="shared" si="16"/>
        <v/>
      </c>
      <c r="D501" s="7" t="str">
        <f t="shared" si="17"/>
        <v/>
      </c>
      <c r="E501" s="37"/>
      <c r="F501" s="9" t="s">
        <v>485</v>
      </c>
      <c r="G501" s="7"/>
    </row>
    <row r="502" ht="15.75" customHeight="1">
      <c r="A502" s="36">
        <v>44798.0</v>
      </c>
      <c r="B502" s="36">
        <v>44805.0</v>
      </c>
      <c r="C502" s="37" t="str">
        <f t="shared" si="16"/>
        <v>Thursday</v>
      </c>
      <c r="D502" s="7">
        <f t="shared" si="17"/>
        <v>7</v>
      </c>
      <c r="E502" s="37"/>
      <c r="F502" s="9" t="s">
        <v>486</v>
      </c>
      <c r="G502" s="7"/>
    </row>
    <row r="503" ht="15.75" customHeight="1">
      <c r="A503" s="49">
        <v>44796.0</v>
      </c>
      <c r="B503" s="49">
        <v>44803.0</v>
      </c>
      <c r="C503" s="50" t="str">
        <f t="shared" si="16"/>
        <v>Tuesday</v>
      </c>
      <c r="D503" s="12">
        <f t="shared" si="17"/>
        <v>7</v>
      </c>
      <c r="E503" s="13" t="s">
        <v>21</v>
      </c>
      <c r="F503" s="14" t="s">
        <v>487</v>
      </c>
      <c r="G503" s="14"/>
    </row>
    <row r="504" ht="15.75" customHeight="1">
      <c r="A504" s="36">
        <v>44791.0</v>
      </c>
      <c r="B504" s="36">
        <v>44798.0</v>
      </c>
      <c r="C504" s="37" t="str">
        <f t="shared" si="16"/>
        <v>Thursday</v>
      </c>
      <c r="D504" s="7">
        <f t="shared" si="17"/>
        <v>7</v>
      </c>
      <c r="E504" s="37"/>
      <c r="F504" s="9" t="s">
        <v>488</v>
      </c>
      <c r="G504" s="7"/>
    </row>
    <row r="505" ht="15.75" customHeight="1">
      <c r="A505" s="36"/>
      <c r="B505" s="36"/>
      <c r="C505" s="37" t="str">
        <f t="shared" si="16"/>
        <v/>
      </c>
      <c r="D505" s="7" t="str">
        <f t="shared" si="17"/>
        <v/>
      </c>
      <c r="E505" s="8" t="s">
        <v>5</v>
      </c>
      <c r="F505" s="9" t="s">
        <v>489</v>
      </c>
      <c r="G505" s="7"/>
    </row>
    <row r="506" ht="15.75" customHeight="1">
      <c r="A506" s="36">
        <v>44784.0</v>
      </c>
      <c r="B506" s="36">
        <v>44791.0</v>
      </c>
      <c r="C506" s="37" t="str">
        <f t="shared" si="16"/>
        <v>Thursday</v>
      </c>
      <c r="D506" s="7">
        <f t="shared" si="17"/>
        <v>7</v>
      </c>
      <c r="E506" s="37"/>
      <c r="F506" s="9" t="s">
        <v>490</v>
      </c>
      <c r="G506" s="7"/>
    </row>
    <row r="507" ht="15.75" customHeight="1">
      <c r="A507" s="36">
        <v>44777.0</v>
      </c>
      <c r="B507" s="36">
        <v>44784.0</v>
      </c>
      <c r="C507" s="37" t="str">
        <f t="shared" si="16"/>
        <v>Thursday</v>
      </c>
      <c r="D507" s="7">
        <f t="shared" si="17"/>
        <v>7</v>
      </c>
      <c r="E507" s="37"/>
      <c r="F507" s="9" t="s">
        <v>491</v>
      </c>
      <c r="G507" s="7"/>
    </row>
    <row r="508" ht="15.75" customHeight="1">
      <c r="A508" s="36">
        <v>44770.0</v>
      </c>
      <c r="B508" s="36">
        <v>44777.0</v>
      </c>
      <c r="C508" s="37" t="str">
        <f t="shared" si="16"/>
        <v>Thursday</v>
      </c>
      <c r="D508" s="7">
        <f t="shared" si="17"/>
        <v>7</v>
      </c>
      <c r="E508" s="37"/>
      <c r="F508" s="9" t="s">
        <v>492</v>
      </c>
      <c r="G508" s="7"/>
    </row>
    <row r="509" ht="15.75" customHeight="1">
      <c r="A509" s="36">
        <v>44763.0</v>
      </c>
      <c r="B509" s="36">
        <v>44770.0</v>
      </c>
      <c r="C509" s="37" t="str">
        <f t="shared" si="16"/>
        <v>Thursday</v>
      </c>
      <c r="D509" s="7">
        <f t="shared" si="17"/>
        <v>7</v>
      </c>
      <c r="E509" s="8" t="s">
        <v>5</v>
      </c>
      <c r="F509" s="9" t="s">
        <v>493</v>
      </c>
      <c r="G509" s="9"/>
    </row>
    <row r="510" ht="15.75" customHeight="1">
      <c r="A510" s="36"/>
      <c r="B510" s="36"/>
      <c r="C510" s="37" t="str">
        <f t="shared" si="16"/>
        <v/>
      </c>
      <c r="D510" s="7" t="str">
        <f t="shared" si="17"/>
        <v/>
      </c>
      <c r="E510" s="8"/>
      <c r="F510" s="9" t="s">
        <v>494</v>
      </c>
      <c r="G510" s="9"/>
    </row>
    <row r="511" ht="15.75" customHeight="1">
      <c r="A511" s="36">
        <v>44756.0</v>
      </c>
      <c r="B511" s="36">
        <v>44763.0</v>
      </c>
      <c r="C511" s="37" t="str">
        <f t="shared" si="16"/>
        <v>Thursday</v>
      </c>
      <c r="D511" s="7">
        <f t="shared" si="17"/>
        <v>7</v>
      </c>
      <c r="E511" s="8" t="s">
        <v>5</v>
      </c>
      <c r="F511" s="9" t="s">
        <v>495</v>
      </c>
      <c r="G511" s="7"/>
    </row>
    <row r="512" ht="15.75" customHeight="1">
      <c r="A512" s="36"/>
      <c r="B512" s="36"/>
      <c r="C512" s="37" t="str">
        <f t="shared" si="16"/>
        <v/>
      </c>
      <c r="D512" s="7" t="str">
        <f t="shared" si="17"/>
        <v/>
      </c>
      <c r="E512" s="37"/>
      <c r="F512" s="9" t="s">
        <v>64</v>
      </c>
      <c r="G512" s="7"/>
    </row>
    <row r="513" ht="15.75" customHeight="1">
      <c r="A513" s="36">
        <v>44749.0</v>
      </c>
      <c r="B513" s="36">
        <v>44756.0</v>
      </c>
      <c r="C513" s="37" t="str">
        <f t="shared" si="16"/>
        <v>Thursday</v>
      </c>
      <c r="D513" s="7">
        <f t="shared" si="17"/>
        <v>7</v>
      </c>
      <c r="E513" s="37"/>
      <c r="F513" s="9" t="s">
        <v>496</v>
      </c>
      <c r="G513" s="7"/>
    </row>
    <row r="514" ht="15.75" customHeight="1">
      <c r="A514" s="67"/>
      <c r="B514" s="67"/>
      <c r="C514" s="37" t="str">
        <f t="shared" si="16"/>
        <v/>
      </c>
      <c r="D514" s="7" t="str">
        <f t="shared" si="17"/>
        <v/>
      </c>
      <c r="E514" s="8" t="s">
        <v>9</v>
      </c>
      <c r="F514" s="9" t="s">
        <v>497</v>
      </c>
      <c r="G514" s="7"/>
    </row>
    <row r="515" ht="15.75" customHeight="1">
      <c r="A515" s="36">
        <v>44742.0</v>
      </c>
      <c r="B515" s="36">
        <v>44749.0</v>
      </c>
      <c r="C515" s="37" t="str">
        <f t="shared" si="16"/>
        <v>Thursday</v>
      </c>
      <c r="D515" s="7">
        <f t="shared" si="17"/>
        <v>7</v>
      </c>
      <c r="E515" s="37"/>
      <c r="F515" s="9" t="s">
        <v>498</v>
      </c>
      <c r="G515" s="7"/>
    </row>
    <row r="516" ht="15.75" customHeight="1">
      <c r="A516" s="67"/>
      <c r="B516" s="67"/>
      <c r="C516" s="37" t="str">
        <f t="shared" si="16"/>
        <v/>
      </c>
      <c r="D516" s="7" t="str">
        <f t="shared" si="17"/>
        <v/>
      </c>
      <c r="E516" s="37"/>
      <c r="F516" s="9" t="s">
        <v>499</v>
      </c>
      <c r="G516" s="7"/>
    </row>
    <row r="517" ht="15.75" customHeight="1">
      <c r="A517" s="67"/>
      <c r="B517" s="67"/>
      <c r="C517" s="37" t="str">
        <f t="shared" si="16"/>
        <v/>
      </c>
      <c r="D517" s="7" t="str">
        <f t="shared" si="17"/>
        <v/>
      </c>
      <c r="E517" s="37"/>
      <c r="F517" s="9" t="s">
        <v>500</v>
      </c>
      <c r="G517" s="7"/>
    </row>
    <row r="518" ht="15.75" customHeight="1">
      <c r="A518" s="36">
        <v>44735.0</v>
      </c>
      <c r="B518" s="36">
        <v>44742.0</v>
      </c>
      <c r="C518" s="37" t="str">
        <f t="shared" si="16"/>
        <v>Thursday</v>
      </c>
      <c r="D518" s="7">
        <f t="shared" si="17"/>
        <v>7</v>
      </c>
      <c r="E518" s="37"/>
      <c r="F518" s="9" t="s">
        <v>501</v>
      </c>
      <c r="G518" s="70"/>
    </row>
    <row r="519" ht="15.75" customHeight="1">
      <c r="A519" s="36"/>
      <c r="B519" s="36"/>
      <c r="C519" s="37" t="str">
        <f t="shared" si="16"/>
        <v/>
      </c>
      <c r="D519" s="7" t="str">
        <f t="shared" si="17"/>
        <v/>
      </c>
      <c r="E519" s="37"/>
      <c r="F519" s="9" t="s">
        <v>502</v>
      </c>
      <c r="G519" s="70"/>
    </row>
    <row r="520" ht="15.75" customHeight="1">
      <c r="A520" s="36">
        <v>44728.0</v>
      </c>
      <c r="B520" s="36">
        <v>44735.0</v>
      </c>
      <c r="C520" s="37" t="str">
        <f t="shared" si="16"/>
        <v>Thursday</v>
      </c>
      <c r="D520" s="7">
        <f t="shared" si="17"/>
        <v>7</v>
      </c>
      <c r="E520" s="37"/>
      <c r="F520" s="9" t="s">
        <v>503</v>
      </c>
      <c r="G520" s="70"/>
    </row>
    <row r="521" ht="15.75" customHeight="1">
      <c r="A521" s="36">
        <v>44721.0</v>
      </c>
      <c r="B521" s="36">
        <v>44728.0</v>
      </c>
      <c r="C521" s="37" t="str">
        <f t="shared" si="16"/>
        <v>Thursday</v>
      </c>
      <c r="D521" s="7">
        <f t="shared" si="17"/>
        <v>7</v>
      </c>
      <c r="E521" s="37"/>
      <c r="F521" s="9" t="s">
        <v>504</v>
      </c>
      <c r="G521" s="70"/>
    </row>
    <row r="522" ht="15.75" customHeight="1">
      <c r="A522" s="30">
        <v>44714.0</v>
      </c>
      <c r="B522" s="30">
        <v>44721.0</v>
      </c>
      <c r="C522" s="31" t="str">
        <f t="shared" si="16"/>
        <v>Thursday</v>
      </c>
      <c r="D522" s="32">
        <f t="shared" si="17"/>
        <v>7</v>
      </c>
      <c r="E522" s="31"/>
      <c r="F522" s="34" t="s">
        <v>454</v>
      </c>
      <c r="G522" s="69"/>
    </row>
    <row r="523" ht="15.75" customHeight="1">
      <c r="A523" s="30">
        <v>44707.0</v>
      </c>
      <c r="B523" s="30">
        <v>44714.0</v>
      </c>
      <c r="C523" s="31" t="str">
        <f t="shared" si="16"/>
        <v>Thursday</v>
      </c>
      <c r="D523" s="32">
        <f t="shared" si="17"/>
        <v>7</v>
      </c>
      <c r="E523" s="31"/>
      <c r="F523" s="34" t="s">
        <v>505</v>
      </c>
      <c r="G523" s="34" t="s">
        <v>506</v>
      </c>
    </row>
    <row r="524" ht="15.75" customHeight="1">
      <c r="A524" s="68"/>
      <c r="B524" s="68"/>
      <c r="C524" s="31" t="str">
        <f t="shared" si="16"/>
        <v/>
      </c>
      <c r="D524" s="32" t="str">
        <f t="shared" si="17"/>
        <v/>
      </c>
      <c r="E524" s="31"/>
      <c r="F524" s="69"/>
      <c r="G524" s="34" t="s">
        <v>507</v>
      </c>
    </row>
    <row r="525" ht="15.75" customHeight="1">
      <c r="A525" s="68"/>
      <c r="B525" s="68"/>
      <c r="C525" s="31" t="str">
        <f t="shared" si="16"/>
        <v/>
      </c>
      <c r="D525" s="32" t="str">
        <f t="shared" si="17"/>
        <v/>
      </c>
      <c r="E525" s="31"/>
      <c r="F525" s="69"/>
      <c r="G525" s="34" t="s">
        <v>508</v>
      </c>
    </row>
    <row r="526" ht="15.75" customHeight="1">
      <c r="A526" s="30">
        <v>44700.0</v>
      </c>
      <c r="B526" s="30">
        <v>44707.0</v>
      </c>
      <c r="C526" s="31" t="str">
        <f t="shared" si="16"/>
        <v>Thursday</v>
      </c>
      <c r="D526" s="32">
        <f t="shared" si="17"/>
        <v>7</v>
      </c>
      <c r="E526" s="31"/>
      <c r="F526" s="69" t="s">
        <v>509</v>
      </c>
      <c r="G526" s="69"/>
    </row>
    <row r="527" ht="15.75" customHeight="1">
      <c r="A527" s="36">
        <v>44693.0</v>
      </c>
      <c r="B527" s="36">
        <v>44700.0</v>
      </c>
      <c r="C527" s="37" t="str">
        <f t="shared" si="16"/>
        <v>Thursday</v>
      </c>
      <c r="D527" s="7">
        <f t="shared" si="17"/>
        <v>7</v>
      </c>
      <c r="E527" s="8" t="s">
        <v>9</v>
      </c>
      <c r="F527" s="9" t="s">
        <v>510</v>
      </c>
      <c r="G527" s="70"/>
    </row>
    <row r="528" ht="15.75" customHeight="1">
      <c r="A528" s="67"/>
      <c r="B528" s="67"/>
      <c r="C528" s="37" t="str">
        <f t="shared" si="16"/>
        <v/>
      </c>
      <c r="D528" s="7" t="str">
        <f t="shared" si="17"/>
        <v/>
      </c>
      <c r="E528" s="8" t="s">
        <v>9</v>
      </c>
      <c r="F528" s="9" t="s">
        <v>511</v>
      </c>
      <c r="G528" s="70"/>
    </row>
    <row r="529" ht="15.75" customHeight="1">
      <c r="A529" s="67"/>
      <c r="B529" s="67"/>
      <c r="C529" s="37" t="str">
        <f t="shared" si="16"/>
        <v/>
      </c>
      <c r="D529" s="7" t="str">
        <f t="shared" si="17"/>
        <v/>
      </c>
      <c r="E529" s="37"/>
      <c r="F529" s="9" t="s">
        <v>512</v>
      </c>
      <c r="G529" s="70"/>
    </row>
    <row r="530" ht="15.75" customHeight="1">
      <c r="A530" s="36">
        <v>44686.0</v>
      </c>
      <c r="B530" s="36">
        <v>44693.0</v>
      </c>
      <c r="C530" s="37" t="str">
        <f t="shared" si="16"/>
        <v>Thursday</v>
      </c>
      <c r="D530" s="7">
        <f t="shared" si="17"/>
        <v>7</v>
      </c>
      <c r="E530" s="37"/>
      <c r="F530" s="9" t="s">
        <v>513</v>
      </c>
      <c r="G530" s="70"/>
    </row>
    <row r="531" ht="15.75" customHeight="1">
      <c r="A531" s="36">
        <v>44679.0</v>
      </c>
      <c r="B531" s="36">
        <v>44686.0</v>
      </c>
      <c r="C531" s="37" t="str">
        <f t="shared" si="16"/>
        <v>Thursday</v>
      </c>
      <c r="D531" s="7">
        <f t="shared" si="17"/>
        <v>7</v>
      </c>
      <c r="E531" s="37"/>
      <c r="F531" s="9" t="s">
        <v>514</v>
      </c>
      <c r="G531" s="70"/>
    </row>
    <row r="532" ht="15.75" customHeight="1">
      <c r="A532" s="67"/>
      <c r="B532" s="67"/>
      <c r="C532" s="37" t="str">
        <f t="shared" si="16"/>
        <v/>
      </c>
      <c r="D532" s="7" t="str">
        <f t="shared" si="17"/>
        <v/>
      </c>
      <c r="E532" s="37"/>
      <c r="F532" s="9" t="s">
        <v>515</v>
      </c>
      <c r="G532" s="70"/>
    </row>
    <row r="533" ht="15.75" customHeight="1">
      <c r="A533" s="36">
        <v>44672.0</v>
      </c>
      <c r="B533" s="36">
        <v>44679.0</v>
      </c>
      <c r="C533" s="37" t="str">
        <f t="shared" si="16"/>
        <v>Thursday</v>
      </c>
      <c r="D533" s="7">
        <f t="shared" si="17"/>
        <v>7</v>
      </c>
      <c r="E533" s="37"/>
      <c r="F533" s="9" t="s">
        <v>516</v>
      </c>
      <c r="G533" s="9"/>
    </row>
    <row r="534" ht="15.75" customHeight="1">
      <c r="A534" s="67"/>
      <c r="B534" s="67"/>
      <c r="C534" s="37" t="str">
        <f t="shared" si="16"/>
        <v/>
      </c>
      <c r="D534" s="7" t="str">
        <f t="shared" si="17"/>
        <v/>
      </c>
      <c r="E534" s="37"/>
      <c r="F534" s="9" t="s">
        <v>517</v>
      </c>
      <c r="G534" s="9"/>
    </row>
    <row r="535" ht="15.75" customHeight="1">
      <c r="A535" s="36">
        <v>44665.0</v>
      </c>
      <c r="B535" s="36">
        <v>44672.0</v>
      </c>
      <c r="C535" s="37" t="str">
        <f t="shared" si="16"/>
        <v>Thursday</v>
      </c>
      <c r="D535" s="7">
        <f t="shared" si="17"/>
        <v>7</v>
      </c>
      <c r="E535" s="37"/>
      <c r="F535" s="9" t="s">
        <v>518</v>
      </c>
      <c r="G535" s="9"/>
    </row>
    <row r="536" ht="15.75" customHeight="1">
      <c r="A536" s="67"/>
      <c r="B536" s="67"/>
      <c r="C536" s="37" t="str">
        <f t="shared" si="16"/>
        <v/>
      </c>
      <c r="D536" s="7" t="str">
        <f t="shared" si="17"/>
        <v/>
      </c>
      <c r="E536" s="37"/>
      <c r="F536" s="9" t="s">
        <v>519</v>
      </c>
      <c r="G536" s="70"/>
    </row>
    <row r="537" ht="15.75" customHeight="1">
      <c r="A537" s="36">
        <v>44658.0</v>
      </c>
      <c r="B537" s="36">
        <v>44665.0</v>
      </c>
      <c r="C537" s="37" t="str">
        <f t="shared" si="16"/>
        <v>Thursday</v>
      </c>
      <c r="D537" s="7">
        <f t="shared" si="17"/>
        <v>7</v>
      </c>
      <c r="E537" s="37"/>
      <c r="F537" s="9" t="s">
        <v>520</v>
      </c>
      <c r="G537" s="7"/>
    </row>
    <row r="538" ht="15.75" customHeight="1">
      <c r="A538" s="67"/>
      <c r="B538" s="67"/>
      <c r="C538" s="37" t="str">
        <f t="shared" si="16"/>
        <v/>
      </c>
      <c r="D538" s="7" t="str">
        <f t="shared" si="17"/>
        <v/>
      </c>
      <c r="E538" s="8" t="s">
        <v>9</v>
      </c>
      <c r="F538" s="9" t="s">
        <v>521</v>
      </c>
      <c r="G538" s="9"/>
    </row>
    <row r="539" ht="15.75" customHeight="1">
      <c r="A539" s="36">
        <v>44651.0</v>
      </c>
      <c r="B539" s="36">
        <v>44658.0</v>
      </c>
      <c r="C539" s="37" t="str">
        <f t="shared" si="16"/>
        <v>Thursday</v>
      </c>
      <c r="D539" s="7">
        <f t="shared" si="17"/>
        <v>7</v>
      </c>
      <c r="E539" s="8" t="s">
        <v>9</v>
      </c>
      <c r="F539" s="70" t="s">
        <v>522</v>
      </c>
      <c r="G539" s="9"/>
    </row>
    <row r="540" ht="15.75" customHeight="1">
      <c r="A540" s="67"/>
      <c r="B540" s="67"/>
      <c r="C540" s="37" t="str">
        <f t="shared" si="16"/>
        <v/>
      </c>
      <c r="D540" s="7" t="str">
        <f t="shared" si="17"/>
        <v/>
      </c>
      <c r="E540" s="37"/>
      <c r="F540" s="9" t="s">
        <v>523</v>
      </c>
      <c r="G540" s="7"/>
    </row>
    <row r="541" ht="15.75" customHeight="1">
      <c r="A541" s="36">
        <v>44644.0</v>
      </c>
      <c r="B541" s="36">
        <v>44651.0</v>
      </c>
      <c r="C541" s="37" t="str">
        <f t="shared" si="16"/>
        <v>Thursday</v>
      </c>
      <c r="D541" s="7">
        <f t="shared" si="17"/>
        <v>7</v>
      </c>
      <c r="E541" s="37"/>
      <c r="F541" s="9" t="s">
        <v>524</v>
      </c>
      <c r="G541" s="7"/>
    </row>
    <row r="542" ht="15.75" customHeight="1">
      <c r="A542" s="36">
        <v>44637.0</v>
      </c>
      <c r="B542" s="36">
        <v>44644.0</v>
      </c>
      <c r="C542" s="37" t="str">
        <f t="shared" si="16"/>
        <v>Thursday</v>
      </c>
      <c r="D542" s="7">
        <f t="shared" si="17"/>
        <v>7</v>
      </c>
      <c r="E542" s="37"/>
      <c r="F542" s="9" t="s">
        <v>525</v>
      </c>
      <c r="G542" s="7"/>
    </row>
    <row r="543" ht="15.75" customHeight="1">
      <c r="A543" s="36">
        <v>44630.0</v>
      </c>
      <c r="B543" s="36">
        <v>44637.0</v>
      </c>
      <c r="C543" s="37" t="str">
        <f t="shared" si="16"/>
        <v>Thursday</v>
      </c>
      <c r="D543" s="7">
        <f t="shared" si="17"/>
        <v>7</v>
      </c>
      <c r="E543" s="8" t="s">
        <v>9</v>
      </c>
      <c r="F543" s="9" t="s">
        <v>526</v>
      </c>
      <c r="G543" s="7"/>
    </row>
    <row r="544" ht="15.75" customHeight="1">
      <c r="A544" s="36">
        <v>44623.0</v>
      </c>
      <c r="B544" s="36">
        <v>44630.0</v>
      </c>
      <c r="C544" s="37" t="str">
        <f t="shared" si="16"/>
        <v>Thursday</v>
      </c>
      <c r="D544" s="7">
        <f t="shared" si="17"/>
        <v>7</v>
      </c>
      <c r="E544" s="37"/>
      <c r="F544" s="9" t="s">
        <v>527</v>
      </c>
      <c r="G544" s="9"/>
    </row>
    <row r="545" ht="15.75" customHeight="1">
      <c r="A545" s="67"/>
      <c r="B545" s="67"/>
      <c r="C545" s="37" t="str">
        <f t="shared" si="16"/>
        <v/>
      </c>
      <c r="D545" s="7" t="str">
        <f t="shared" si="17"/>
        <v/>
      </c>
      <c r="E545" s="37"/>
      <c r="F545" s="9" t="s">
        <v>528</v>
      </c>
      <c r="G545" s="7"/>
    </row>
    <row r="546" ht="15.75" customHeight="1">
      <c r="A546" s="67"/>
      <c r="B546" s="67"/>
      <c r="C546" s="37" t="str">
        <f t="shared" si="16"/>
        <v/>
      </c>
      <c r="D546" s="7" t="str">
        <f t="shared" si="17"/>
        <v/>
      </c>
      <c r="E546" s="8" t="s">
        <v>5</v>
      </c>
      <c r="F546" s="9" t="s">
        <v>529</v>
      </c>
      <c r="G546" s="7"/>
    </row>
    <row r="547" ht="15.75" customHeight="1">
      <c r="A547" s="36">
        <v>44616.0</v>
      </c>
      <c r="B547" s="36">
        <v>44623.0</v>
      </c>
      <c r="C547" s="37" t="str">
        <f t="shared" si="16"/>
        <v>Thursday</v>
      </c>
      <c r="D547" s="7">
        <f t="shared" si="17"/>
        <v>7</v>
      </c>
      <c r="E547" s="37"/>
      <c r="F547" s="9" t="s">
        <v>530</v>
      </c>
      <c r="G547" s="7"/>
    </row>
    <row r="548" ht="15.75" customHeight="1">
      <c r="A548" s="36">
        <v>44609.0</v>
      </c>
      <c r="B548" s="36">
        <v>44616.0</v>
      </c>
      <c r="C548" s="37" t="str">
        <f t="shared" si="16"/>
        <v>Thursday</v>
      </c>
      <c r="D548" s="7">
        <f t="shared" si="17"/>
        <v>7</v>
      </c>
      <c r="E548" s="37"/>
      <c r="F548" s="9" t="s">
        <v>531</v>
      </c>
      <c r="G548" s="7"/>
    </row>
    <row r="549" ht="15.75" customHeight="1">
      <c r="A549" s="36">
        <v>44602.0</v>
      </c>
      <c r="B549" s="36">
        <v>44609.0</v>
      </c>
      <c r="C549" s="37" t="str">
        <f t="shared" si="16"/>
        <v>Thursday</v>
      </c>
      <c r="D549" s="7">
        <f t="shared" si="17"/>
        <v>7</v>
      </c>
      <c r="E549" s="37"/>
      <c r="F549" s="9" t="s">
        <v>532</v>
      </c>
      <c r="G549" s="7"/>
    </row>
    <row r="550" ht="15.75" customHeight="1">
      <c r="A550" s="36">
        <v>44595.0</v>
      </c>
      <c r="B550" s="36">
        <v>44602.0</v>
      </c>
      <c r="C550" s="37" t="str">
        <f t="shared" si="16"/>
        <v>Thursday</v>
      </c>
      <c r="D550" s="7">
        <f t="shared" si="17"/>
        <v>7</v>
      </c>
      <c r="E550" s="8" t="s">
        <v>9</v>
      </c>
      <c r="F550" s="9" t="s">
        <v>533</v>
      </c>
      <c r="G550" s="7"/>
    </row>
    <row r="551" ht="15.75" customHeight="1">
      <c r="A551" s="36">
        <v>44588.0</v>
      </c>
      <c r="B551" s="36">
        <v>44595.0</v>
      </c>
      <c r="C551" s="37" t="str">
        <f t="shared" si="16"/>
        <v>Thursday</v>
      </c>
      <c r="D551" s="7">
        <f t="shared" si="17"/>
        <v>7</v>
      </c>
      <c r="E551" s="37"/>
      <c r="F551" s="9" t="s">
        <v>534</v>
      </c>
      <c r="G551" s="7"/>
    </row>
    <row r="552" ht="15.75" customHeight="1">
      <c r="A552" s="36">
        <v>44581.0</v>
      </c>
      <c r="B552" s="36">
        <v>44588.0</v>
      </c>
      <c r="C552" s="37" t="str">
        <f t="shared" si="16"/>
        <v>Thursday</v>
      </c>
      <c r="D552" s="7">
        <f t="shared" si="17"/>
        <v>7</v>
      </c>
      <c r="E552" s="37"/>
      <c r="F552" s="9" t="s">
        <v>535</v>
      </c>
      <c r="G552" s="7"/>
    </row>
    <row r="553" ht="15.75" customHeight="1">
      <c r="A553" s="36">
        <v>44574.0</v>
      </c>
      <c r="B553" s="36">
        <v>44581.0</v>
      </c>
      <c r="C553" s="37" t="str">
        <f t="shared" si="16"/>
        <v>Thursday</v>
      </c>
      <c r="D553" s="7">
        <f t="shared" si="17"/>
        <v>7</v>
      </c>
      <c r="E553" s="8" t="s">
        <v>9</v>
      </c>
      <c r="F553" s="9" t="s">
        <v>536</v>
      </c>
      <c r="G553" s="7"/>
    </row>
    <row r="554" ht="15.75" customHeight="1">
      <c r="A554" s="36">
        <v>44567.0</v>
      </c>
      <c r="B554" s="36">
        <v>44574.0</v>
      </c>
      <c r="C554" s="37" t="str">
        <f t="shared" si="16"/>
        <v>Thursday</v>
      </c>
      <c r="D554" s="7">
        <f t="shared" si="17"/>
        <v>7</v>
      </c>
      <c r="E554" s="37"/>
      <c r="F554" s="9" t="s">
        <v>537</v>
      </c>
      <c r="G554" s="9"/>
    </row>
    <row r="555" ht="15.75" customHeight="1">
      <c r="A555" s="30">
        <v>44560.0</v>
      </c>
      <c r="B555" s="30">
        <v>44567.0</v>
      </c>
      <c r="C555" s="31" t="str">
        <f t="shared" si="16"/>
        <v>Thursday</v>
      </c>
      <c r="D555" s="32">
        <f t="shared" si="17"/>
        <v>7</v>
      </c>
      <c r="E555" s="31"/>
      <c r="F555" s="34" t="s">
        <v>538</v>
      </c>
      <c r="G555" s="34" t="s">
        <v>539</v>
      </c>
    </row>
    <row r="556" ht="15.75" customHeight="1">
      <c r="A556" s="68"/>
      <c r="B556" s="68"/>
      <c r="C556" s="31" t="str">
        <f t="shared" si="16"/>
        <v/>
      </c>
      <c r="D556" s="32" t="str">
        <f t="shared" si="17"/>
        <v/>
      </c>
      <c r="E556" s="31"/>
      <c r="F556" s="69"/>
      <c r="G556" s="34" t="s">
        <v>540</v>
      </c>
    </row>
    <row r="557" ht="15.75" customHeight="1">
      <c r="A557" s="68"/>
      <c r="B557" s="68"/>
      <c r="C557" s="31" t="str">
        <f t="shared" si="16"/>
        <v/>
      </c>
      <c r="D557" s="32" t="str">
        <f t="shared" si="17"/>
        <v/>
      </c>
      <c r="E557" s="31"/>
      <c r="F557" s="69"/>
      <c r="G557" s="60" t="s">
        <v>484</v>
      </c>
    </row>
    <row r="558" ht="15.75" customHeight="1">
      <c r="A558" s="30">
        <v>44559.0</v>
      </c>
      <c r="B558" s="30">
        <v>44560.0</v>
      </c>
      <c r="C558" s="31" t="str">
        <f t="shared" si="16"/>
        <v>Wednesday</v>
      </c>
      <c r="D558" s="32">
        <f t="shared" si="17"/>
        <v>1</v>
      </c>
      <c r="E558" s="31"/>
      <c r="F558" s="34" t="s">
        <v>541</v>
      </c>
      <c r="G558" s="32"/>
    </row>
    <row r="559" ht="15.75" customHeight="1">
      <c r="A559" s="30">
        <v>44558.0</v>
      </c>
      <c r="B559" s="30">
        <v>44559.0</v>
      </c>
      <c r="C559" s="31" t="str">
        <f t="shared" si="16"/>
        <v>Tuesday</v>
      </c>
      <c r="D559" s="32">
        <f t="shared" si="17"/>
        <v>1</v>
      </c>
      <c r="E559" s="31"/>
      <c r="F559" s="34" t="s">
        <v>269</v>
      </c>
      <c r="G559" s="32"/>
    </row>
    <row r="560" ht="15.75" customHeight="1">
      <c r="A560" s="30">
        <v>44557.0</v>
      </c>
      <c r="B560" s="30">
        <v>44558.0</v>
      </c>
      <c r="C560" s="31" t="str">
        <f t="shared" si="16"/>
        <v>Monday</v>
      </c>
      <c r="D560" s="32">
        <f t="shared" si="17"/>
        <v>1</v>
      </c>
      <c r="E560" s="31"/>
      <c r="F560" s="34" t="s">
        <v>227</v>
      </c>
      <c r="G560" s="32"/>
    </row>
    <row r="561" ht="15.75" customHeight="1">
      <c r="A561" s="30">
        <v>44556.0</v>
      </c>
      <c r="B561" s="30">
        <v>44557.0</v>
      </c>
      <c r="C561" s="31" t="str">
        <f t="shared" si="16"/>
        <v>Sunday</v>
      </c>
      <c r="D561" s="32">
        <f t="shared" si="17"/>
        <v>1</v>
      </c>
      <c r="E561" s="33" t="s">
        <v>9</v>
      </c>
      <c r="F561" s="34" t="s">
        <v>250</v>
      </c>
      <c r="G561" s="32"/>
    </row>
    <row r="562" ht="15.75" customHeight="1">
      <c r="A562" s="30">
        <v>44555.0</v>
      </c>
      <c r="B562" s="30">
        <v>44556.0</v>
      </c>
      <c r="C562" s="31" t="str">
        <f t="shared" si="16"/>
        <v>Saturday</v>
      </c>
      <c r="D562" s="32">
        <f t="shared" si="17"/>
        <v>1</v>
      </c>
      <c r="E562" s="31"/>
      <c r="F562" s="34" t="s">
        <v>510</v>
      </c>
      <c r="G562" s="32"/>
    </row>
    <row r="563" ht="15.75" customHeight="1">
      <c r="A563" s="30">
        <v>44554.0</v>
      </c>
      <c r="B563" s="30">
        <v>44555.0</v>
      </c>
      <c r="C563" s="31" t="str">
        <f t="shared" si="16"/>
        <v>Friday</v>
      </c>
      <c r="D563" s="32">
        <f t="shared" si="17"/>
        <v>1</v>
      </c>
      <c r="E563" s="31"/>
      <c r="F563" s="34" t="s">
        <v>542</v>
      </c>
      <c r="G563" s="32"/>
    </row>
    <row r="564" ht="15.75" customHeight="1">
      <c r="A564" s="30">
        <v>44553.0</v>
      </c>
      <c r="B564" s="30">
        <v>44554.0</v>
      </c>
      <c r="C564" s="31" t="str">
        <f t="shared" si="16"/>
        <v>Thursday</v>
      </c>
      <c r="D564" s="32">
        <f t="shared" si="17"/>
        <v>1</v>
      </c>
      <c r="E564" s="31"/>
      <c r="F564" s="34" t="s">
        <v>543</v>
      </c>
      <c r="G564" s="32"/>
    </row>
    <row r="565" ht="15.75" customHeight="1">
      <c r="A565" s="30">
        <v>44552.0</v>
      </c>
      <c r="B565" s="30">
        <v>44553.0</v>
      </c>
      <c r="C565" s="31" t="str">
        <f t="shared" si="16"/>
        <v>Wednesday</v>
      </c>
      <c r="D565" s="32">
        <f t="shared" si="17"/>
        <v>1</v>
      </c>
      <c r="E565" s="33" t="s">
        <v>9</v>
      </c>
      <c r="F565" s="34" t="s">
        <v>544</v>
      </c>
      <c r="G565" s="32"/>
    </row>
    <row r="566" ht="15.75" customHeight="1">
      <c r="A566" s="30">
        <v>44551.0</v>
      </c>
      <c r="B566" s="30">
        <v>44552.0</v>
      </c>
      <c r="C566" s="31" t="str">
        <f t="shared" si="16"/>
        <v>Tuesday</v>
      </c>
      <c r="D566" s="32">
        <f t="shared" si="17"/>
        <v>1</v>
      </c>
      <c r="E566" s="31"/>
      <c r="F566" s="34" t="s">
        <v>424</v>
      </c>
      <c r="G566" s="32"/>
    </row>
    <row r="567" ht="15.75" customHeight="1">
      <c r="A567" s="30">
        <v>44550.0</v>
      </c>
      <c r="B567" s="30">
        <v>44551.0</v>
      </c>
      <c r="C567" s="31" t="str">
        <f t="shared" si="16"/>
        <v>Monday</v>
      </c>
      <c r="D567" s="32">
        <f t="shared" si="17"/>
        <v>1</v>
      </c>
      <c r="E567" s="31"/>
      <c r="F567" s="34" t="s">
        <v>206</v>
      </c>
      <c r="G567" s="32"/>
    </row>
    <row r="568" ht="15.75" customHeight="1">
      <c r="A568" s="30">
        <v>44549.0</v>
      </c>
      <c r="B568" s="30">
        <v>44550.0</v>
      </c>
      <c r="C568" s="31" t="str">
        <f t="shared" si="16"/>
        <v>Sunday</v>
      </c>
      <c r="D568" s="32">
        <f t="shared" si="17"/>
        <v>1</v>
      </c>
      <c r="E568" s="31"/>
      <c r="F568" s="34" t="s">
        <v>521</v>
      </c>
      <c r="G568" s="32"/>
    </row>
    <row r="569" ht="15.75" customHeight="1">
      <c r="A569" s="30">
        <v>44548.0</v>
      </c>
      <c r="B569" s="30">
        <v>44549.0</v>
      </c>
      <c r="C569" s="31" t="str">
        <f t="shared" si="16"/>
        <v>Saturday</v>
      </c>
      <c r="D569" s="32">
        <f t="shared" si="17"/>
        <v>1</v>
      </c>
      <c r="E569" s="33" t="s">
        <v>9</v>
      </c>
      <c r="F569" s="34" t="s">
        <v>545</v>
      </c>
      <c r="G569" s="32"/>
    </row>
    <row r="570" ht="15.75" customHeight="1">
      <c r="A570" s="30">
        <v>44547.0</v>
      </c>
      <c r="B570" s="30">
        <v>44548.0</v>
      </c>
      <c r="C570" s="31" t="str">
        <f t="shared" si="16"/>
        <v>Friday</v>
      </c>
      <c r="D570" s="32">
        <f t="shared" si="17"/>
        <v>1</v>
      </c>
      <c r="E570" s="31"/>
      <c r="F570" s="34" t="s">
        <v>546</v>
      </c>
      <c r="G570" s="32"/>
    </row>
    <row r="571" ht="15.75" customHeight="1">
      <c r="A571" s="30">
        <v>44546.0</v>
      </c>
      <c r="B571" s="30">
        <v>44547.0</v>
      </c>
      <c r="C571" s="31" t="str">
        <f t="shared" si="16"/>
        <v>Thursday</v>
      </c>
      <c r="D571" s="32">
        <f t="shared" si="17"/>
        <v>1</v>
      </c>
      <c r="E571" s="31"/>
      <c r="F571" s="34" t="s">
        <v>547</v>
      </c>
      <c r="G571" s="32"/>
    </row>
    <row r="572" ht="15.75" customHeight="1">
      <c r="A572" s="36">
        <v>44539.0</v>
      </c>
      <c r="B572" s="36">
        <v>44546.0</v>
      </c>
      <c r="C572" s="37" t="str">
        <f t="shared" si="16"/>
        <v>Thursday</v>
      </c>
      <c r="D572" s="7">
        <f t="shared" si="17"/>
        <v>7</v>
      </c>
      <c r="E572" s="37"/>
      <c r="F572" s="9" t="s">
        <v>548</v>
      </c>
      <c r="G572" s="9"/>
    </row>
    <row r="573" ht="15.75" customHeight="1">
      <c r="A573" s="36"/>
      <c r="B573" s="36"/>
      <c r="C573" s="37" t="str">
        <f t="shared" si="16"/>
        <v/>
      </c>
      <c r="D573" s="7" t="str">
        <f t="shared" si="17"/>
        <v/>
      </c>
      <c r="E573" s="37"/>
      <c r="F573" s="9" t="s">
        <v>549</v>
      </c>
      <c r="G573" s="7"/>
    </row>
    <row r="574" ht="15.75" customHeight="1">
      <c r="A574" s="36">
        <v>44532.0</v>
      </c>
      <c r="B574" s="36">
        <v>44539.0</v>
      </c>
      <c r="C574" s="37" t="str">
        <f t="shared" si="16"/>
        <v>Thursday</v>
      </c>
      <c r="D574" s="7">
        <f t="shared" si="17"/>
        <v>7</v>
      </c>
      <c r="E574" s="37"/>
      <c r="F574" s="9" t="s">
        <v>550</v>
      </c>
      <c r="G574" s="7"/>
    </row>
    <row r="575" ht="15.75" customHeight="1">
      <c r="A575" s="67"/>
      <c r="B575" s="67"/>
      <c r="C575" s="37" t="str">
        <f t="shared" si="16"/>
        <v/>
      </c>
      <c r="D575" s="7" t="str">
        <f t="shared" si="17"/>
        <v/>
      </c>
      <c r="E575" s="37"/>
      <c r="F575" s="9" t="s">
        <v>551</v>
      </c>
      <c r="G575" s="7"/>
    </row>
    <row r="576" ht="15.75" customHeight="1">
      <c r="A576" s="36">
        <v>44525.0</v>
      </c>
      <c r="B576" s="36">
        <v>44532.0</v>
      </c>
      <c r="C576" s="37" t="str">
        <f t="shared" si="16"/>
        <v>Thursday</v>
      </c>
      <c r="D576" s="7">
        <f t="shared" si="17"/>
        <v>7</v>
      </c>
      <c r="E576" s="8" t="s">
        <v>5</v>
      </c>
      <c r="F576" s="9" t="s">
        <v>552</v>
      </c>
      <c r="G576" s="9"/>
    </row>
    <row r="577" ht="15.75" customHeight="1">
      <c r="A577" s="36"/>
      <c r="B577" s="36"/>
      <c r="C577" s="37" t="str">
        <f t="shared" si="16"/>
        <v/>
      </c>
      <c r="D577" s="7" t="str">
        <f t="shared" si="17"/>
        <v/>
      </c>
      <c r="E577" s="37"/>
      <c r="F577" s="9" t="s">
        <v>405</v>
      </c>
      <c r="G577" s="7"/>
    </row>
    <row r="578" ht="15.75" customHeight="1">
      <c r="A578" s="36">
        <v>44518.0</v>
      </c>
      <c r="B578" s="36">
        <v>44525.0</v>
      </c>
      <c r="C578" s="37" t="str">
        <f t="shared" si="16"/>
        <v>Thursday</v>
      </c>
      <c r="D578" s="7">
        <f t="shared" si="17"/>
        <v>7</v>
      </c>
      <c r="E578" s="37"/>
      <c r="F578" s="9" t="s">
        <v>553</v>
      </c>
      <c r="G578" s="7"/>
    </row>
    <row r="579" ht="15.75" customHeight="1">
      <c r="A579" s="67"/>
      <c r="B579" s="67"/>
      <c r="C579" s="37" t="str">
        <f t="shared" si="16"/>
        <v/>
      </c>
      <c r="D579" s="7" t="str">
        <f t="shared" si="17"/>
        <v/>
      </c>
      <c r="E579" s="37"/>
      <c r="F579" s="9" t="s">
        <v>554</v>
      </c>
      <c r="G579" s="7"/>
    </row>
    <row r="580" ht="15.75" customHeight="1">
      <c r="A580" s="67"/>
      <c r="B580" s="67"/>
      <c r="C580" s="37" t="str">
        <f t="shared" si="16"/>
        <v/>
      </c>
      <c r="D580" s="7" t="str">
        <f t="shared" si="17"/>
        <v/>
      </c>
      <c r="E580" s="37"/>
      <c r="F580" s="9" t="s">
        <v>422</v>
      </c>
      <c r="G580" s="7"/>
    </row>
    <row r="581" ht="15.75" customHeight="1">
      <c r="A581" s="36">
        <v>44511.0</v>
      </c>
      <c r="B581" s="36">
        <v>44518.0</v>
      </c>
      <c r="C581" s="37" t="str">
        <f t="shared" si="16"/>
        <v>Thursday</v>
      </c>
      <c r="D581" s="7">
        <f t="shared" si="17"/>
        <v>7</v>
      </c>
      <c r="E581" s="8" t="s">
        <v>5</v>
      </c>
      <c r="F581" s="9" t="s">
        <v>555</v>
      </c>
      <c r="G581" s="7"/>
    </row>
    <row r="582" ht="15.75" customHeight="1">
      <c r="A582" s="49">
        <v>44509.0</v>
      </c>
      <c r="B582" s="49">
        <v>44516.0</v>
      </c>
      <c r="C582" s="50" t="str">
        <f t="shared" si="16"/>
        <v>Tuesday</v>
      </c>
      <c r="D582" s="12">
        <f t="shared" si="17"/>
        <v>7</v>
      </c>
      <c r="E582" s="13" t="s">
        <v>17</v>
      </c>
      <c r="F582" s="14" t="s">
        <v>556</v>
      </c>
      <c r="G582" s="14"/>
    </row>
    <row r="583" ht="15.75" customHeight="1">
      <c r="A583" s="36">
        <v>44504.0</v>
      </c>
      <c r="B583" s="36">
        <v>44511.0</v>
      </c>
      <c r="C583" s="37" t="str">
        <f t="shared" si="16"/>
        <v>Thursday</v>
      </c>
      <c r="D583" s="7">
        <f t="shared" si="17"/>
        <v>7</v>
      </c>
      <c r="E583" s="37"/>
      <c r="F583" s="9" t="s">
        <v>557</v>
      </c>
      <c r="G583" s="7"/>
    </row>
    <row r="584" ht="15.75" customHeight="1">
      <c r="A584" s="36">
        <v>44497.0</v>
      </c>
      <c r="B584" s="36">
        <v>44504.0</v>
      </c>
      <c r="C584" s="37" t="str">
        <f t="shared" si="16"/>
        <v>Thursday</v>
      </c>
      <c r="D584" s="7">
        <f t="shared" si="17"/>
        <v>7</v>
      </c>
      <c r="E584" s="37"/>
      <c r="F584" s="9" t="s">
        <v>558</v>
      </c>
      <c r="G584" s="7"/>
    </row>
    <row r="585" ht="15.75" customHeight="1">
      <c r="A585" s="36">
        <v>44490.0</v>
      </c>
      <c r="B585" s="36">
        <v>44497.0</v>
      </c>
      <c r="C585" s="37" t="str">
        <f t="shared" si="16"/>
        <v>Thursday</v>
      </c>
      <c r="D585" s="7">
        <f t="shared" si="17"/>
        <v>7</v>
      </c>
      <c r="E585" s="37"/>
      <c r="F585" s="9" t="s">
        <v>559</v>
      </c>
      <c r="G585" s="7"/>
    </row>
    <row r="586" ht="15.75" customHeight="1">
      <c r="A586" s="36">
        <v>44483.0</v>
      </c>
      <c r="B586" s="36">
        <v>44490.0</v>
      </c>
      <c r="C586" s="37" t="str">
        <f t="shared" si="16"/>
        <v>Thursday</v>
      </c>
      <c r="D586" s="7">
        <f t="shared" si="17"/>
        <v>7</v>
      </c>
      <c r="E586" s="8" t="s">
        <v>5</v>
      </c>
      <c r="F586" s="9" t="s">
        <v>560</v>
      </c>
      <c r="G586" s="9"/>
    </row>
    <row r="587" ht="15.75" customHeight="1">
      <c r="A587" s="36"/>
      <c r="B587" s="36"/>
      <c r="C587" s="37" t="str">
        <f t="shared" si="16"/>
        <v/>
      </c>
      <c r="D587" s="7" t="str">
        <f t="shared" si="17"/>
        <v/>
      </c>
      <c r="E587" s="37"/>
      <c r="F587" s="9" t="s">
        <v>561</v>
      </c>
      <c r="G587" s="7"/>
    </row>
    <row r="588" ht="15.75" customHeight="1">
      <c r="A588" s="36">
        <v>44476.0</v>
      </c>
      <c r="B588" s="48">
        <v>44483.0</v>
      </c>
      <c r="C588" s="37" t="str">
        <f t="shared" si="16"/>
        <v>Thursday</v>
      </c>
      <c r="D588" s="7">
        <f t="shared" si="17"/>
        <v>7</v>
      </c>
      <c r="E588" s="37"/>
      <c r="F588" s="9" t="s">
        <v>562</v>
      </c>
      <c r="G588" s="7"/>
    </row>
    <row r="589" ht="15.75" customHeight="1">
      <c r="A589" s="49">
        <v>44474.0</v>
      </c>
      <c r="B589" s="66">
        <v>44480.0</v>
      </c>
      <c r="C589" s="50" t="str">
        <f t="shared" si="16"/>
        <v>Tuesday</v>
      </c>
      <c r="D589" s="12">
        <f t="shared" si="17"/>
        <v>6</v>
      </c>
      <c r="E589" s="13" t="s">
        <v>21</v>
      </c>
      <c r="F589" s="14" t="s">
        <v>563</v>
      </c>
      <c r="G589" s="12"/>
    </row>
    <row r="590" ht="15.75" customHeight="1">
      <c r="A590" s="36">
        <v>44469.0</v>
      </c>
      <c r="B590" s="36">
        <v>44476.0</v>
      </c>
      <c r="C590" s="37" t="str">
        <f t="shared" si="16"/>
        <v>Thursday</v>
      </c>
      <c r="D590" s="7">
        <f t="shared" si="17"/>
        <v>7</v>
      </c>
      <c r="E590" s="37"/>
      <c r="F590" s="70" t="s">
        <v>395</v>
      </c>
      <c r="G590" s="9"/>
    </row>
    <row r="591" ht="15.75" customHeight="1">
      <c r="A591" s="49">
        <v>44467.0</v>
      </c>
      <c r="B591" s="49">
        <v>44468.0</v>
      </c>
      <c r="C591" s="50" t="str">
        <f t="shared" si="16"/>
        <v>Tuesday</v>
      </c>
      <c r="D591" s="12">
        <f t="shared" si="17"/>
        <v>1</v>
      </c>
      <c r="E591" s="13" t="s">
        <v>17</v>
      </c>
      <c r="F591" s="71" t="s">
        <v>564</v>
      </c>
      <c r="G591" s="14"/>
    </row>
    <row r="592" ht="15.75" customHeight="1">
      <c r="A592" s="36">
        <v>44462.0</v>
      </c>
      <c r="B592" s="36">
        <v>44469.0</v>
      </c>
      <c r="C592" s="37" t="str">
        <f t="shared" si="16"/>
        <v>Thursday</v>
      </c>
      <c r="D592" s="7">
        <f t="shared" si="17"/>
        <v>7</v>
      </c>
      <c r="E592" s="8" t="s">
        <v>9</v>
      </c>
      <c r="F592" s="9" t="s">
        <v>565</v>
      </c>
      <c r="G592" s="9"/>
    </row>
    <row r="593" ht="15.75" customHeight="1">
      <c r="A593" s="36">
        <v>44455.0</v>
      </c>
      <c r="B593" s="36">
        <v>44462.0</v>
      </c>
      <c r="C593" s="37" t="str">
        <f t="shared" si="16"/>
        <v>Thursday</v>
      </c>
      <c r="D593" s="7">
        <f t="shared" si="17"/>
        <v>7</v>
      </c>
      <c r="E593" s="37"/>
      <c r="F593" s="9" t="s">
        <v>566</v>
      </c>
      <c r="G593" s="7"/>
    </row>
    <row r="594" ht="15.75" customHeight="1">
      <c r="A594" s="67"/>
      <c r="B594" s="67"/>
      <c r="C594" s="37" t="str">
        <f t="shared" si="16"/>
        <v/>
      </c>
      <c r="D594" s="7" t="str">
        <f t="shared" si="17"/>
        <v/>
      </c>
      <c r="E594" s="37"/>
      <c r="F594" s="9" t="s">
        <v>567</v>
      </c>
      <c r="G594" s="7"/>
    </row>
    <row r="595" ht="15.75" customHeight="1">
      <c r="A595" s="36">
        <v>44448.0</v>
      </c>
      <c r="B595" s="36">
        <v>44455.0</v>
      </c>
      <c r="C595" s="37" t="str">
        <f t="shared" si="16"/>
        <v>Thursday</v>
      </c>
      <c r="D595" s="7">
        <f t="shared" si="17"/>
        <v>7</v>
      </c>
      <c r="E595" s="37"/>
      <c r="F595" s="9" t="s">
        <v>568</v>
      </c>
      <c r="G595" s="9"/>
    </row>
    <row r="596" ht="15.75" customHeight="1">
      <c r="A596" s="67"/>
      <c r="B596" s="67"/>
      <c r="C596" s="37" t="str">
        <f t="shared" si="16"/>
        <v/>
      </c>
      <c r="D596" s="7" t="str">
        <f t="shared" si="17"/>
        <v/>
      </c>
      <c r="E596" s="37"/>
      <c r="F596" s="9" t="s">
        <v>569</v>
      </c>
      <c r="G596" s="7"/>
    </row>
    <row r="597" ht="15.75" customHeight="1">
      <c r="A597" s="36">
        <v>44441.0</v>
      </c>
      <c r="B597" s="36">
        <v>44448.0</v>
      </c>
      <c r="C597" s="37" t="str">
        <f t="shared" si="16"/>
        <v>Thursday</v>
      </c>
      <c r="D597" s="7">
        <f t="shared" si="17"/>
        <v>7</v>
      </c>
      <c r="E597" s="37"/>
      <c r="F597" s="9" t="s">
        <v>570</v>
      </c>
      <c r="G597" s="7"/>
    </row>
    <row r="598" ht="15.75" customHeight="1">
      <c r="A598" s="36">
        <v>44434.0</v>
      </c>
      <c r="B598" s="36">
        <v>44441.0</v>
      </c>
      <c r="C598" s="37" t="str">
        <f t="shared" si="16"/>
        <v>Thursday</v>
      </c>
      <c r="D598" s="7">
        <f t="shared" si="17"/>
        <v>7</v>
      </c>
      <c r="E598" s="37"/>
      <c r="F598" s="9" t="s">
        <v>571</v>
      </c>
      <c r="G598" s="7"/>
    </row>
    <row r="599" ht="15.75" customHeight="1">
      <c r="A599" s="49">
        <v>44433.0</v>
      </c>
      <c r="B599" s="49">
        <v>44441.0</v>
      </c>
      <c r="C599" s="50" t="str">
        <f t="shared" si="16"/>
        <v>Wednesday</v>
      </c>
      <c r="D599" s="12">
        <f t="shared" si="17"/>
        <v>8</v>
      </c>
      <c r="E599" s="13" t="s">
        <v>17</v>
      </c>
      <c r="F599" s="14" t="s">
        <v>572</v>
      </c>
      <c r="G599" s="14"/>
    </row>
    <row r="600" ht="15.75" customHeight="1">
      <c r="A600" s="36">
        <v>44427.0</v>
      </c>
      <c r="B600" s="36">
        <v>44434.0</v>
      </c>
      <c r="C600" s="37" t="str">
        <f t="shared" si="16"/>
        <v>Thursday</v>
      </c>
      <c r="D600" s="7">
        <f t="shared" si="17"/>
        <v>7</v>
      </c>
      <c r="E600" s="37"/>
      <c r="F600" s="9" t="s">
        <v>573</v>
      </c>
      <c r="G600" s="7"/>
    </row>
    <row r="601" ht="15.75" customHeight="1">
      <c r="A601" s="67"/>
      <c r="B601" s="67"/>
      <c r="C601" s="37" t="str">
        <f t="shared" si="16"/>
        <v/>
      </c>
      <c r="D601" s="7" t="str">
        <f t="shared" si="17"/>
        <v/>
      </c>
      <c r="E601" s="37"/>
      <c r="F601" s="9" t="s">
        <v>574</v>
      </c>
      <c r="G601" s="7"/>
    </row>
    <row r="602" ht="15.75" customHeight="1">
      <c r="A602" s="36">
        <v>44420.0</v>
      </c>
      <c r="B602" s="36">
        <v>44427.0</v>
      </c>
      <c r="C602" s="37" t="str">
        <f t="shared" si="16"/>
        <v>Thursday</v>
      </c>
      <c r="D602" s="7">
        <f t="shared" si="17"/>
        <v>7</v>
      </c>
      <c r="E602" s="8" t="s">
        <v>9</v>
      </c>
      <c r="F602" s="70" t="s">
        <v>575</v>
      </c>
      <c r="G602" s="7"/>
    </row>
    <row r="603" ht="15.75" customHeight="1">
      <c r="A603" s="36">
        <v>44413.0</v>
      </c>
      <c r="B603" s="36">
        <v>44420.0</v>
      </c>
      <c r="C603" s="37" t="str">
        <f t="shared" si="16"/>
        <v>Thursday</v>
      </c>
      <c r="D603" s="7">
        <f t="shared" si="17"/>
        <v>7</v>
      </c>
      <c r="E603" s="37"/>
      <c r="F603" s="9" t="s">
        <v>352</v>
      </c>
      <c r="G603" s="7"/>
    </row>
    <row r="604" ht="15.75" customHeight="1">
      <c r="A604" s="67"/>
      <c r="B604" s="67"/>
      <c r="C604" s="37" t="str">
        <f t="shared" si="16"/>
        <v/>
      </c>
      <c r="D604" s="7" t="str">
        <f t="shared" si="17"/>
        <v/>
      </c>
      <c r="E604" s="8" t="s">
        <v>9</v>
      </c>
      <c r="F604" s="9" t="s">
        <v>576</v>
      </c>
      <c r="G604" s="7"/>
    </row>
    <row r="605" ht="15.75" customHeight="1">
      <c r="A605" s="36">
        <v>44406.0</v>
      </c>
      <c r="B605" s="36">
        <v>44413.0</v>
      </c>
      <c r="C605" s="37" t="str">
        <f t="shared" si="16"/>
        <v>Thursday</v>
      </c>
      <c r="D605" s="7">
        <f t="shared" si="17"/>
        <v>7</v>
      </c>
      <c r="E605" s="37"/>
      <c r="F605" s="9" t="s">
        <v>577</v>
      </c>
      <c r="G605" s="7"/>
    </row>
    <row r="606" ht="15.75" customHeight="1">
      <c r="A606" s="67"/>
      <c r="B606" s="67"/>
      <c r="C606" s="37" t="str">
        <f t="shared" si="16"/>
        <v/>
      </c>
      <c r="D606" s="7" t="str">
        <f t="shared" si="17"/>
        <v/>
      </c>
      <c r="E606" s="37"/>
      <c r="F606" s="9" t="s">
        <v>578</v>
      </c>
      <c r="G606" s="7"/>
    </row>
    <row r="607" ht="15.75" customHeight="1">
      <c r="A607" s="36">
        <v>44399.0</v>
      </c>
      <c r="B607" s="36">
        <v>44406.0</v>
      </c>
      <c r="C607" s="37" t="str">
        <f t="shared" si="16"/>
        <v>Thursday</v>
      </c>
      <c r="D607" s="7">
        <f t="shared" si="17"/>
        <v>7</v>
      </c>
      <c r="E607" s="8" t="s">
        <v>9</v>
      </c>
      <c r="F607" s="9" t="s">
        <v>579</v>
      </c>
      <c r="G607" s="7"/>
    </row>
    <row r="608" ht="15.75" customHeight="1">
      <c r="A608" s="67"/>
      <c r="B608" s="67"/>
      <c r="C608" s="37" t="str">
        <f t="shared" si="16"/>
        <v/>
      </c>
      <c r="D608" s="7" t="str">
        <f t="shared" si="17"/>
        <v/>
      </c>
      <c r="E608" s="37"/>
      <c r="F608" s="9" t="s">
        <v>580</v>
      </c>
      <c r="G608" s="7"/>
    </row>
    <row r="609" ht="15.75" customHeight="1">
      <c r="A609" s="36">
        <v>44392.0</v>
      </c>
      <c r="B609" s="36">
        <v>44399.0</v>
      </c>
      <c r="C609" s="37" t="str">
        <f t="shared" si="16"/>
        <v>Thursday</v>
      </c>
      <c r="D609" s="7">
        <f t="shared" si="17"/>
        <v>7</v>
      </c>
      <c r="E609" s="37"/>
      <c r="F609" s="9" t="s">
        <v>581</v>
      </c>
      <c r="G609" s="7"/>
    </row>
    <row r="610" ht="15.75" customHeight="1">
      <c r="A610" s="67"/>
      <c r="B610" s="67"/>
      <c r="C610" s="37" t="str">
        <f t="shared" si="16"/>
        <v/>
      </c>
      <c r="D610" s="7" t="str">
        <f t="shared" si="17"/>
        <v/>
      </c>
      <c r="E610" s="8" t="s">
        <v>9</v>
      </c>
      <c r="F610" s="9" t="s">
        <v>582</v>
      </c>
      <c r="G610" s="7"/>
    </row>
    <row r="611" ht="15.75" customHeight="1">
      <c r="A611" s="36">
        <v>44385.0</v>
      </c>
      <c r="B611" s="36">
        <v>44392.0</v>
      </c>
      <c r="C611" s="37" t="str">
        <f t="shared" si="16"/>
        <v>Thursday</v>
      </c>
      <c r="D611" s="7">
        <f t="shared" si="17"/>
        <v>7</v>
      </c>
      <c r="E611" s="37"/>
      <c r="F611" s="9" t="s">
        <v>209</v>
      </c>
      <c r="G611" s="7"/>
    </row>
    <row r="612" ht="15.75" customHeight="1">
      <c r="A612" s="67"/>
      <c r="B612" s="67"/>
      <c r="C612" s="37" t="str">
        <f t="shared" si="16"/>
        <v/>
      </c>
      <c r="D612" s="7" t="str">
        <f t="shared" si="17"/>
        <v/>
      </c>
      <c r="E612" s="37"/>
      <c r="F612" s="9" t="s">
        <v>583</v>
      </c>
      <c r="G612" s="7"/>
    </row>
    <row r="613" ht="15.75" customHeight="1">
      <c r="A613" s="36">
        <v>44378.0</v>
      </c>
      <c r="B613" s="36">
        <v>44385.0</v>
      </c>
      <c r="C613" s="37" t="str">
        <f t="shared" si="16"/>
        <v>Thursday</v>
      </c>
      <c r="D613" s="7">
        <f t="shared" si="17"/>
        <v>7</v>
      </c>
      <c r="E613" s="37"/>
      <c r="F613" s="9" t="s">
        <v>584</v>
      </c>
      <c r="G613" s="7"/>
    </row>
    <row r="614" ht="15.75" customHeight="1">
      <c r="A614" s="36">
        <v>44371.0</v>
      </c>
      <c r="B614" s="36">
        <v>44378.0</v>
      </c>
      <c r="C614" s="37" t="str">
        <f t="shared" si="16"/>
        <v>Thursday</v>
      </c>
      <c r="D614" s="7">
        <f t="shared" si="17"/>
        <v>7</v>
      </c>
      <c r="E614" s="37"/>
      <c r="F614" s="70" t="s">
        <v>419</v>
      </c>
      <c r="G614" s="7"/>
    </row>
    <row r="615" ht="15.75" customHeight="1">
      <c r="A615" s="36"/>
      <c r="B615" s="36"/>
      <c r="C615" s="37" t="str">
        <f t="shared" si="16"/>
        <v/>
      </c>
      <c r="D615" s="7" t="str">
        <f t="shared" si="17"/>
        <v/>
      </c>
      <c r="E615" s="37"/>
      <c r="F615" s="9" t="s">
        <v>585</v>
      </c>
      <c r="G615" s="7"/>
    </row>
    <row r="616" ht="15.75" customHeight="1">
      <c r="A616" s="36">
        <v>44364.0</v>
      </c>
      <c r="B616" s="36">
        <v>44371.0</v>
      </c>
      <c r="C616" s="37" t="str">
        <f t="shared" si="16"/>
        <v>Thursday</v>
      </c>
      <c r="D616" s="7">
        <f t="shared" si="17"/>
        <v>7</v>
      </c>
      <c r="E616" s="37"/>
      <c r="F616" s="9" t="s">
        <v>586</v>
      </c>
      <c r="G616" s="7"/>
    </row>
    <row r="617" ht="15.75" customHeight="1">
      <c r="A617" s="67"/>
      <c r="B617" s="67"/>
      <c r="C617" s="37" t="str">
        <f t="shared" si="16"/>
        <v/>
      </c>
      <c r="D617" s="7" t="str">
        <f t="shared" si="17"/>
        <v/>
      </c>
      <c r="E617" s="37"/>
      <c r="F617" s="9" t="s">
        <v>587</v>
      </c>
      <c r="G617" s="7"/>
    </row>
    <row r="618" ht="15.75" customHeight="1">
      <c r="A618" s="30">
        <v>44357.0</v>
      </c>
      <c r="B618" s="30">
        <v>44364.0</v>
      </c>
      <c r="C618" s="31" t="str">
        <f t="shared" si="16"/>
        <v>Thursday</v>
      </c>
      <c r="D618" s="32">
        <f t="shared" si="17"/>
        <v>7</v>
      </c>
      <c r="E618" s="31"/>
      <c r="F618" s="34" t="s">
        <v>250</v>
      </c>
      <c r="G618" s="32"/>
    </row>
    <row r="619" ht="15.75" customHeight="1">
      <c r="A619" s="30">
        <v>44350.0</v>
      </c>
      <c r="B619" s="30">
        <v>44357.0</v>
      </c>
      <c r="C619" s="31" t="str">
        <f t="shared" si="16"/>
        <v>Thursday</v>
      </c>
      <c r="D619" s="32">
        <f t="shared" si="17"/>
        <v>7</v>
      </c>
      <c r="E619" s="31"/>
      <c r="F619" s="34" t="s">
        <v>588</v>
      </c>
      <c r="G619" s="32"/>
    </row>
    <row r="620" ht="15.75" customHeight="1">
      <c r="A620" s="30">
        <v>44343.0</v>
      </c>
      <c r="B620" s="30">
        <v>44350.0</v>
      </c>
      <c r="C620" s="31" t="str">
        <f t="shared" si="16"/>
        <v>Thursday</v>
      </c>
      <c r="D620" s="32">
        <f t="shared" si="17"/>
        <v>7</v>
      </c>
      <c r="E620" s="31"/>
      <c r="F620" s="34" t="s">
        <v>589</v>
      </c>
      <c r="G620" s="34"/>
    </row>
    <row r="621" ht="15.75" customHeight="1">
      <c r="A621" s="30">
        <v>44336.0</v>
      </c>
      <c r="B621" s="30">
        <v>44343.0</v>
      </c>
      <c r="C621" s="31" t="str">
        <f t="shared" si="16"/>
        <v>Thursday</v>
      </c>
      <c r="D621" s="32">
        <f t="shared" si="17"/>
        <v>7</v>
      </c>
      <c r="E621" s="31"/>
      <c r="F621" s="34" t="s">
        <v>590</v>
      </c>
      <c r="G621" s="32"/>
    </row>
    <row r="622" ht="15.75" customHeight="1">
      <c r="A622" s="36">
        <v>44329.0</v>
      </c>
      <c r="B622" s="36">
        <v>44336.0</v>
      </c>
      <c r="C622" s="37" t="str">
        <f t="shared" si="16"/>
        <v>Thursday</v>
      </c>
      <c r="D622" s="7">
        <f t="shared" si="17"/>
        <v>7</v>
      </c>
      <c r="E622" s="37"/>
      <c r="F622" s="9" t="s">
        <v>591</v>
      </c>
      <c r="G622" s="7"/>
    </row>
    <row r="623" ht="15.75" customHeight="1">
      <c r="A623" s="36">
        <v>44322.0</v>
      </c>
      <c r="B623" s="36">
        <v>44329.0</v>
      </c>
      <c r="C623" s="37" t="str">
        <f t="shared" si="16"/>
        <v>Thursday</v>
      </c>
      <c r="D623" s="7">
        <f t="shared" si="17"/>
        <v>7</v>
      </c>
      <c r="E623" s="37"/>
      <c r="F623" s="9" t="s">
        <v>592</v>
      </c>
      <c r="G623" s="7"/>
    </row>
    <row r="624" ht="15.75" customHeight="1">
      <c r="A624" s="36"/>
      <c r="B624" s="36"/>
      <c r="C624" s="37" t="str">
        <f t="shared" si="16"/>
        <v/>
      </c>
      <c r="D624" s="7" t="str">
        <f t="shared" si="17"/>
        <v/>
      </c>
      <c r="E624" s="8" t="s">
        <v>5</v>
      </c>
      <c r="F624" s="9" t="s">
        <v>593</v>
      </c>
      <c r="G624" s="9"/>
    </row>
    <row r="625" ht="15.75" customHeight="1">
      <c r="A625" s="36">
        <v>44315.0</v>
      </c>
      <c r="B625" s="36">
        <v>44322.0</v>
      </c>
      <c r="C625" s="37" t="str">
        <f t="shared" si="16"/>
        <v>Thursday</v>
      </c>
      <c r="D625" s="7">
        <f t="shared" si="17"/>
        <v>7</v>
      </c>
      <c r="E625" s="8" t="s">
        <v>5</v>
      </c>
      <c r="F625" s="9" t="s">
        <v>594</v>
      </c>
      <c r="G625" s="9"/>
    </row>
    <row r="626" ht="15.75" customHeight="1">
      <c r="A626" s="49">
        <v>44308.0</v>
      </c>
      <c r="B626" s="49">
        <v>44315.0</v>
      </c>
      <c r="C626" s="50" t="str">
        <f t="shared" si="16"/>
        <v>Thursday</v>
      </c>
      <c r="D626" s="12">
        <f t="shared" si="17"/>
        <v>7</v>
      </c>
      <c r="E626" s="13" t="s">
        <v>21</v>
      </c>
      <c r="F626" s="14" t="s">
        <v>595</v>
      </c>
      <c r="G626" s="12"/>
    </row>
    <row r="627" ht="15.75" customHeight="1">
      <c r="A627" s="36">
        <v>44308.0</v>
      </c>
      <c r="B627" s="36">
        <v>44315.0</v>
      </c>
      <c r="C627" s="37" t="str">
        <f t="shared" si="16"/>
        <v>Thursday</v>
      </c>
      <c r="D627" s="7">
        <f t="shared" si="17"/>
        <v>7</v>
      </c>
      <c r="E627" s="8" t="s">
        <v>9</v>
      </c>
      <c r="F627" s="9" t="s">
        <v>596</v>
      </c>
      <c r="G627" s="7"/>
    </row>
    <row r="628" ht="15.75" customHeight="1">
      <c r="A628" s="67"/>
      <c r="B628" s="67"/>
      <c r="C628" s="37" t="str">
        <f t="shared" si="16"/>
        <v/>
      </c>
      <c r="D628" s="7" t="str">
        <f t="shared" si="17"/>
        <v/>
      </c>
      <c r="E628" s="37"/>
      <c r="F628" s="9" t="s">
        <v>597</v>
      </c>
      <c r="G628" s="7"/>
    </row>
    <row r="629" ht="15.75" customHeight="1">
      <c r="A629" s="36">
        <v>44301.0</v>
      </c>
      <c r="B629" s="36">
        <v>44308.0</v>
      </c>
      <c r="C629" s="37" t="str">
        <f t="shared" si="16"/>
        <v>Thursday</v>
      </c>
      <c r="D629" s="7">
        <f t="shared" si="17"/>
        <v>7</v>
      </c>
      <c r="E629" s="37"/>
      <c r="F629" s="9" t="s">
        <v>598</v>
      </c>
      <c r="G629" s="7"/>
    </row>
    <row r="630" ht="15.75" customHeight="1">
      <c r="A630" s="67"/>
      <c r="B630" s="67"/>
      <c r="C630" s="37" t="str">
        <f t="shared" si="16"/>
        <v/>
      </c>
      <c r="D630" s="7" t="str">
        <f t="shared" si="17"/>
        <v/>
      </c>
      <c r="E630" s="37"/>
      <c r="F630" s="9" t="s">
        <v>599</v>
      </c>
      <c r="G630" s="7"/>
    </row>
    <row r="631" ht="15.75" customHeight="1">
      <c r="A631" s="67"/>
      <c r="B631" s="67"/>
      <c r="C631" s="37" t="str">
        <f t="shared" si="16"/>
        <v/>
      </c>
      <c r="D631" s="7" t="str">
        <f t="shared" si="17"/>
        <v/>
      </c>
      <c r="E631" s="37"/>
      <c r="F631" s="9" t="s">
        <v>600</v>
      </c>
      <c r="G631" s="7"/>
    </row>
    <row r="632" ht="15.75" customHeight="1">
      <c r="A632" s="36">
        <v>44294.0</v>
      </c>
      <c r="B632" s="36">
        <v>44301.0</v>
      </c>
      <c r="C632" s="37" t="str">
        <f t="shared" si="16"/>
        <v>Thursday</v>
      </c>
      <c r="D632" s="7">
        <f t="shared" si="17"/>
        <v>7</v>
      </c>
      <c r="E632" s="8" t="s">
        <v>11</v>
      </c>
      <c r="F632" s="9" t="s">
        <v>601</v>
      </c>
      <c r="G632" s="9"/>
    </row>
    <row r="633" ht="15.75" customHeight="1">
      <c r="A633" s="36">
        <v>44287.0</v>
      </c>
      <c r="B633" s="36">
        <v>44294.0</v>
      </c>
      <c r="C633" s="37" t="str">
        <f t="shared" si="16"/>
        <v>Thursday</v>
      </c>
      <c r="D633" s="7">
        <f t="shared" si="17"/>
        <v>7</v>
      </c>
      <c r="E633" s="37"/>
      <c r="F633" s="9" t="s">
        <v>602</v>
      </c>
      <c r="G633" s="7"/>
    </row>
    <row r="634" ht="15.75" customHeight="1">
      <c r="A634" s="36">
        <v>44280.0</v>
      </c>
      <c r="B634" s="36">
        <v>44287.0</v>
      </c>
      <c r="C634" s="37" t="str">
        <f t="shared" si="16"/>
        <v>Thursday</v>
      </c>
      <c r="D634" s="7">
        <f t="shared" si="17"/>
        <v>7</v>
      </c>
      <c r="E634" s="37"/>
      <c r="F634" s="9" t="s">
        <v>603</v>
      </c>
      <c r="G634" s="7"/>
    </row>
    <row r="635" ht="15.75" customHeight="1">
      <c r="A635" s="36">
        <v>44273.0</v>
      </c>
      <c r="B635" s="36">
        <v>44280.0</v>
      </c>
      <c r="C635" s="37" t="str">
        <f t="shared" si="16"/>
        <v>Thursday</v>
      </c>
      <c r="D635" s="7">
        <f t="shared" si="17"/>
        <v>7</v>
      </c>
      <c r="E635" s="37"/>
      <c r="F635" s="9" t="s">
        <v>604</v>
      </c>
      <c r="G635" s="7"/>
    </row>
    <row r="636" ht="15.75" customHeight="1">
      <c r="A636" s="36">
        <v>44266.0</v>
      </c>
      <c r="B636" s="36">
        <v>44273.0</v>
      </c>
      <c r="C636" s="37" t="str">
        <f t="shared" si="16"/>
        <v>Thursday</v>
      </c>
      <c r="D636" s="7">
        <f t="shared" si="17"/>
        <v>7</v>
      </c>
      <c r="E636" s="8" t="s">
        <v>9</v>
      </c>
      <c r="F636" s="9" t="s">
        <v>605</v>
      </c>
      <c r="G636" s="7"/>
    </row>
    <row r="637" ht="15.75" customHeight="1">
      <c r="A637" s="36">
        <v>44259.0</v>
      </c>
      <c r="B637" s="36">
        <v>44266.0</v>
      </c>
      <c r="C637" s="37" t="str">
        <f t="shared" si="16"/>
        <v>Thursday</v>
      </c>
      <c r="D637" s="7">
        <f t="shared" si="17"/>
        <v>7</v>
      </c>
      <c r="E637" s="37"/>
      <c r="F637" s="9" t="s">
        <v>606</v>
      </c>
      <c r="G637" s="7"/>
    </row>
    <row r="638" ht="15.75" customHeight="1">
      <c r="A638" s="36">
        <v>44252.0</v>
      </c>
      <c r="B638" s="36">
        <v>44259.0</v>
      </c>
      <c r="C638" s="37" t="str">
        <f t="shared" si="16"/>
        <v>Thursday</v>
      </c>
      <c r="D638" s="7">
        <f t="shared" si="17"/>
        <v>7</v>
      </c>
      <c r="E638" s="37"/>
      <c r="F638" s="9" t="s">
        <v>607</v>
      </c>
      <c r="G638" s="7"/>
    </row>
    <row r="639" ht="15.75" customHeight="1">
      <c r="A639" s="36">
        <v>44245.0</v>
      </c>
      <c r="B639" s="36">
        <v>44252.0</v>
      </c>
      <c r="C639" s="37" t="str">
        <f t="shared" si="16"/>
        <v>Thursday</v>
      </c>
      <c r="D639" s="7">
        <f t="shared" si="17"/>
        <v>7</v>
      </c>
      <c r="E639" s="37"/>
      <c r="F639" s="9" t="s">
        <v>608</v>
      </c>
      <c r="G639" s="7"/>
    </row>
    <row r="640" ht="15.75" customHeight="1">
      <c r="A640" s="67"/>
      <c r="B640" s="67"/>
      <c r="C640" s="37" t="str">
        <f t="shared" si="16"/>
        <v/>
      </c>
      <c r="D640" s="7" t="str">
        <f t="shared" si="17"/>
        <v/>
      </c>
      <c r="E640" s="37"/>
      <c r="F640" s="9" t="s">
        <v>609</v>
      </c>
      <c r="G640" s="7"/>
    </row>
    <row r="641" ht="15.75" customHeight="1">
      <c r="A641" s="36">
        <v>44238.0</v>
      </c>
      <c r="B641" s="36">
        <v>44245.0</v>
      </c>
      <c r="C641" s="37" t="str">
        <f t="shared" si="16"/>
        <v>Thursday</v>
      </c>
      <c r="D641" s="7">
        <f t="shared" si="17"/>
        <v>7</v>
      </c>
      <c r="E641" s="37"/>
      <c r="F641" s="9" t="s">
        <v>610</v>
      </c>
      <c r="G641" s="7"/>
    </row>
    <row r="642" ht="15.75" customHeight="1">
      <c r="A642" s="36">
        <v>44231.0</v>
      </c>
      <c r="B642" s="36">
        <v>44238.0</v>
      </c>
      <c r="C642" s="37" t="str">
        <f t="shared" si="16"/>
        <v>Thursday</v>
      </c>
      <c r="D642" s="7">
        <f t="shared" si="17"/>
        <v>7</v>
      </c>
      <c r="E642" s="8" t="s">
        <v>9</v>
      </c>
      <c r="F642" s="9" t="s">
        <v>611</v>
      </c>
      <c r="G642" s="7"/>
    </row>
    <row r="643" ht="15.75" customHeight="1">
      <c r="A643" s="67"/>
      <c r="B643" s="67"/>
      <c r="C643" s="37" t="str">
        <f t="shared" si="16"/>
        <v/>
      </c>
      <c r="D643" s="7" t="str">
        <f t="shared" si="17"/>
        <v/>
      </c>
      <c r="E643" s="37"/>
      <c r="F643" s="9" t="s">
        <v>451</v>
      </c>
      <c r="G643" s="7"/>
    </row>
    <row r="644" ht="15.75" customHeight="1">
      <c r="A644" s="36">
        <v>44224.0</v>
      </c>
      <c r="B644" s="36">
        <v>44231.0</v>
      </c>
      <c r="C644" s="37" t="str">
        <f t="shared" si="16"/>
        <v>Thursday</v>
      </c>
      <c r="D644" s="7">
        <f t="shared" si="17"/>
        <v>7</v>
      </c>
      <c r="E644" s="37"/>
      <c r="F644" s="9" t="s">
        <v>612</v>
      </c>
      <c r="G644" s="7"/>
    </row>
    <row r="645" ht="15.75" customHeight="1">
      <c r="A645" s="36">
        <v>44217.0</v>
      </c>
      <c r="B645" s="36">
        <v>44224.0</v>
      </c>
      <c r="C645" s="37" t="str">
        <f t="shared" si="16"/>
        <v>Thursday</v>
      </c>
      <c r="D645" s="7">
        <f t="shared" si="17"/>
        <v>7</v>
      </c>
      <c r="E645" s="37"/>
      <c r="F645" s="9" t="s">
        <v>536</v>
      </c>
      <c r="G645" s="7"/>
    </row>
    <row r="646" ht="15.75" customHeight="1">
      <c r="A646" s="36">
        <v>44210.0</v>
      </c>
      <c r="B646" s="36">
        <v>44217.0</v>
      </c>
      <c r="C646" s="37" t="str">
        <f t="shared" si="16"/>
        <v>Thursday</v>
      </c>
      <c r="D646" s="7">
        <f t="shared" si="17"/>
        <v>7</v>
      </c>
      <c r="E646" s="37"/>
      <c r="F646" s="9" t="s">
        <v>613</v>
      </c>
      <c r="G646" s="7"/>
    </row>
    <row r="647" ht="15.75" customHeight="1">
      <c r="A647" s="36">
        <v>44203.0</v>
      </c>
      <c r="B647" s="36">
        <v>44210.0</v>
      </c>
      <c r="C647" s="37" t="str">
        <f t="shared" si="16"/>
        <v>Thursday</v>
      </c>
      <c r="D647" s="7">
        <f t="shared" si="17"/>
        <v>7</v>
      </c>
      <c r="E647" s="37"/>
      <c r="F647" s="9" t="s">
        <v>614</v>
      </c>
      <c r="G647" s="9"/>
    </row>
    <row r="648" ht="15.75" customHeight="1">
      <c r="A648" s="30">
        <v>44196.0</v>
      </c>
      <c r="B648" s="30">
        <v>44203.0</v>
      </c>
      <c r="C648" s="31" t="str">
        <f t="shared" si="16"/>
        <v>Thursday</v>
      </c>
      <c r="D648" s="32">
        <f t="shared" si="17"/>
        <v>7</v>
      </c>
      <c r="E648" s="31"/>
      <c r="F648" s="34" t="s">
        <v>615</v>
      </c>
      <c r="G648" s="34"/>
    </row>
    <row r="649" ht="15.75" customHeight="1">
      <c r="A649" s="30">
        <v>44195.0</v>
      </c>
      <c r="B649" s="30">
        <v>44196.0</v>
      </c>
      <c r="C649" s="31" t="str">
        <f t="shared" si="16"/>
        <v>Wednesday</v>
      </c>
      <c r="D649" s="32">
        <f t="shared" si="17"/>
        <v>1</v>
      </c>
      <c r="E649" s="33" t="s">
        <v>9</v>
      </c>
      <c r="F649" s="34" t="s">
        <v>616</v>
      </c>
      <c r="G649" s="32"/>
    </row>
    <row r="650" ht="15.75" customHeight="1">
      <c r="A650" s="30">
        <v>44194.0</v>
      </c>
      <c r="B650" s="30">
        <v>44195.0</v>
      </c>
      <c r="C650" s="31" t="str">
        <f t="shared" si="16"/>
        <v>Tuesday</v>
      </c>
      <c r="D650" s="32">
        <f t="shared" si="17"/>
        <v>1</v>
      </c>
      <c r="E650" s="31"/>
      <c r="F650" s="69" t="s">
        <v>617</v>
      </c>
      <c r="G650" s="32"/>
    </row>
    <row r="651" ht="15.75" customHeight="1">
      <c r="A651" s="30">
        <v>44193.0</v>
      </c>
      <c r="B651" s="30">
        <v>44194.0</v>
      </c>
      <c r="C651" s="31" t="str">
        <f t="shared" si="16"/>
        <v>Monday</v>
      </c>
      <c r="D651" s="32">
        <f t="shared" si="17"/>
        <v>1</v>
      </c>
      <c r="E651" s="31"/>
      <c r="F651" s="34" t="s">
        <v>618</v>
      </c>
      <c r="G651" s="32"/>
    </row>
    <row r="652" ht="15.75" customHeight="1">
      <c r="A652" s="30">
        <v>44192.0</v>
      </c>
      <c r="B652" s="30">
        <v>44193.0</v>
      </c>
      <c r="C652" s="31" t="str">
        <f t="shared" si="16"/>
        <v>Sunday</v>
      </c>
      <c r="D652" s="32">
        <f t="shared" si="17"/>
        <v>1</v>
      </c>
      <c r="E652" s="31"/>
      <c r="F652" s="34" t="s">
        <v>619</v>
      </c>
      <c r="G652" s="32"/>
    </row>
    <row r="653" ht="15.75" customHeight="1">
      <c r="A653" s="30">
        <v>44191.0</v>
      </c>
      <c r="B653" s="30">
        <v>44192.0</v>
      </c>
      <c r="C653" s="31" t="str">
        <f t="shared" si="16"/>
        <v>Saturday</v>
      </c>
      <c r="D653" s="32">
        <f t="shared" si="17"/>
        <v>1</v>
      </c>
      <c r="E653" s="31"/>
      <c r="F653" s="34" t="s">
        <v>620</v>
      </c>
      <c r="G653" s="32"/>
    </row>
    <row r="654" ht="15.75" customHeight="1">
      <c r="A654" s="30">
        <v>44190.0</v>
      </c>
      <c r="B654" s="30">
        <v>44191.0</v>
      </c>
      <c r="C654" s="31" t="str">
        <f t="shared" si="16"/>
        <v>Friday</v>
      </c>
      <c r="D654" s="32">
        <f t="shared" si="17"/>
        <v>1</v>
      </c>
      <c r="E654" s="31"/>
      <c r="F654" s="34" t="s">
        <v>621</v>
      </c>
      <c r="G654" s="32"/>
    </row>
    <row r="655" ht="15.75" customHeight="1">
      <c r="A655" s="30">
        <v>44189.0</v>
      </c>
      <c r="B655" s="30">
        <v>44190.0</v>
      </c>
      <c r="C655" s="31" t="str">
        <f t="shared" si="16"/>
        <v>Thursday</v>
      </c>
      <c r="D655" s="32">
        <f t="shared" si="17"/>
        <v>1</v>
      </c>
      <c r="E655" s="33" t="s">
        <v>9</v>
      </c>
      <c r="F655" s="34" t="s">
        <v>622</v>
      </c>
      <c r="G655" s="32"/>
    </row>
    <row r="656" ht="15.75" customHeight="1">
      <c r="A656" s="30">
        <v>44188.0</v>
      </c>
      <c r="B656" s="30">
        <v>44189.0</v>
      </c>
      <c r="C656" s="31" t="str">
        <f t="shared" si="16"/>
        <v>Wednesday</v>
      </c>
      <c r="D656" s="32">
        <f t="shared" si="17"/>
        <v>1</v>
      </c>
      <c r="E656" s="31"/>
      <c r="F656" s="34" t="s">
        <v>623</v>
      </c>
      <c r="G656" s="32"/>
    </row>
    <row r="657" ht="15.75" customHeight="1">
      <c r="A657" s="30">
        <v>44187.0</v>
      </c>
      <c r="B657" s="30">
        <v>44188.0</v>
      </c>
      <c r="C657" s="31" t="str">
        <f t="shared" si="16"/>
        <v>Tuesday</v>
      </c>
      <c r="D657" s="32">
        <f t="shared" si="17"/>
        <v>1</v>
      </c>
      <c r="E657" s="33" t="s">
        <v>9</v>
      </c>
      <c r="F657" s="34" t="s">
        <v>624</v>
      </c>
      <c r="G657" s="34"/>
    </row>
    <row r="658" ht="15.75" customHeight="1">
      <c r="A658" s="30">
        <v>44186.0</v>
      </c>
      <c r="B658" s="30">
        <v>44187.0</v>
      </c>
      <c r="C658" s="31" t="str">
        <f t="shared" si="16"/>
        <v>Monday</v>
      </c>
      <c r="D658" s="32">
        <f t="shared" si="17"/>
        <v>1</v>
      </c>
      <c r="E658" s="31"/>
      <c r="F658" s="34" t="s">
        <v>596</v>
      </c>
      <c r="G658" s="32"/>
    </row>
    <row r="659" ht="15.75" customHeight="1">
      <c r="A659" s="30">
        <v>44185.0</v>
      </c>
      <c r="B659" s="30">
        <v>44186.0</v>
      </c>
      <c r="C659" s="31" t="str">
        <f t="shared" si="16"/>
        <v>Sunday</v>
      </c>
      <c r="D659" s="32">
        <f t="shared" si="17"/>
        <v>1</v>
      </c>
      <c r="E659" s="31"/>
      <c r="F659" s="34" t="s">
        <v>579</v>
      </c>
      <c r="G659" s="32"/>
    </row>
    <row r="660" ht="15.75" customHeight="1">
      <c r="A660" s="30">
        <v>44184.0</v>
      </c>
      <c r="B660" s="30">
        <v>44185.0</v>
      </c>
      <c r="C660" s="31" t="str">
        <f t="shared" si="16"/>
        <v>Saturday</v>
      </c>
      <c r="D660" s="32">
        <f t="shared" si="17"/>
        <v>1</v>
      </c>
      <c r="E660" s="31"/>
      <c r="F660" s="34" t="s">
        <v>625</v>
      </c>
      <c r="G660" s="32"/>
    </row>
    <row r="661" ht="15.75" customHeight="1">
      <c r="A661" s="30">
        <v>44183.0</v>
      </c>
      <c r="B661" s="30">
        <v>44184.0</v>
      </c>
      <c r="C661" s="31" t="str">
        <f t="shared" si="16"/>
        <v>Friday</v>
      </c>
      <c r="D661" s="32">
        <f t="shared" si="17"/>
        <v>1</v>
      </c>
      <c r="E661" s="31"/>
      <c r="F661" s="34" t="s">
        <v>626</v>
      </c>
      <c r="G661" s="32"/>
    </row>
    <row r="662" ht="15.75" customHeight="1">
      <c r="A662" s="30">
        <v>44182.0</v>
      </c>
      <c r="B662" s="30">
        <v>44183.0</v>
      </c>
      <c r="C662" s="31" t="str">
        <f t="shared" si="16"/>
        <v>Thursday</v>
      </c>
      <c r="D662" s="32">
        <f t="shared" si="17"/>
        <v>1</v>
      </c>
      <c r="E662" s="31"/>
      <c r="F662" s="34" t="s">
        <v>526</v>
      </c>
      <c r="G662" s="32"/>
    </row>
    <row r="663" ht="15.75" customHeight="1">
      <c r="A663" s="36">
        <v>44175.0</v>
      </c>
      <c r="B663" s="36">
        <v>44182.0</v>
      </c>
      <c r="C663" s="37" t="str">
        <f t="shared" si="16"/>
        <v>Thursday</v>
      </c>
      <c r="D663" s="7">
        <f t="shared" si="17"/>
        <v>7</v>
      </c>
      <c r="E663" s="37"/>
      <c r="F663" s="9" t="s">
        <v>627</v>
      </c>
      <c r="G663" s="7"/>
    </row>
    <row r="664" ht="15.75" customHeight="1">
      <c r="A664" s="67"/>
      <c r="B664" s="67"/>
      <c r="C664" s="37" t="str">
        <f t="shared" si="16"/>
        <v/>
      </c>
      <c r="D664" s="7" t="str">
        <f t="shared" si="17"/>
        <v/>
      </c>
      <c r="E664" s="37"/>
      <c r="F664" s="9" t="s">
        <v>628</v>
      </c>
      <c r="G664" s="7"/>
    </row>
    <row r="665" ht="15.75" customHeight="1">
      <c r="A665" s="36">
        <v>44168.0</v>
      </c>
      <c r="B665" s="36">
        <v>44175.0</v>
      </c>
      <c r="C665" s="37" t="str">
        <f t="shared" si="16"/>
        <v>Thursday</v>
      </c>
      <c r="D665" s="7">
        <f t="shared" si="17"/>
        <v>7</v>
      </c>
      <c r="E665" s="37"/>
      <c r="F665" s="9" t="s">
        <v>391</v>
      </c>
      <c r="G665" s="7"/>
    </row>
    <row r="666" ht="15.75" customHeight="1">
      <c r="A666" s="36">
        <v>44161.0</v>
      </c>
      <c r="B666" s="36">
        <v>44168.0</v>
      </c>
      <c r="C666" s="37" t="str">
        <f t="shared" si="16"/>
        <v>Thursday</v>
      </c>
      <c r="D666" s="7">
        <f t="shared" si="17"/>
        <v>7</v>
      </c>
      <c r="E666" s="37"/>
      <c r="F666" s="9" t="s">
        <v>629</v>
      </c>
      <c r="G666" s="7"/>
    </row>
    <row r="667" ht="15.75" customHeight="1">
      <c r="A667" s="36">
        <v>44154.0</v>
      </c>
      <c r="B667" s="36">
        <v>44161.0</v>
      </c>
      <c r="C667" s="37" t="str">
        <f t="shared" si="16"/>
        <v>Thursday</v>
      </c>
      <c r="D667" s="7">
        <f t="shared" si="17"/>
        <v>7</v>
      </c>
      <c r="E667" s="37"/>
      <c r="F667" s="9" t="s">
        <v>630</v>
      </c>
      <c r="G667" s="7"/>
    </row>
    <row r="668" ht="15.75" customHeight="1">
      <c r="A668" s="67"/>
      <c r="B668" s="67"/>
      <c r="C668" s="37" t="str">
        <f t="shared" si="16"/>
        <v/>
      </c>
      <c r="D668" s="7" t="str">
        <f t="shared" si="17"/>
        <v/>
      </c>
      <c r="E668" s="37"/>
      <c r="F668" s="9" t="s">
        <v>631</v>
      </c>
      <c r="G668" s="7"/>
    </row>
    <row r="669" ht="15.75" customHeight="1">
      <c r="A669" s="36">
        <v>44147.0</v>
      </c>
      <c r="B669" s="36">
        <v>44154.0</v>
      </c>
      <c r="C669" s="37" t="str">
        <f t="shared" si="16"/>
        <v>Thursday</v>
      </c>
      <c r="D669" s="7">
        <f t="shared" si="17"/>
        <v>7</v>
      </c>
      <c r="E669" s="37"/>
      <c r="F669" s="9" t="s">
        <v>632</v>
      </c>
      <c r="G669" s="7"/>
    </row>
    <row r="670" ht="15.75" customHeight="1">
      <c r="A670" s="36">
        <v>44140.0</v>
      </c>
      <c r="B670" s="36">
        <v>44147.0</v>
      </c>
      <c r="C670" s="37" t="str">
        <f t="shared" si="16"/>
        <v>Thursday</v>
      </c>
      <c r="D670" s="7">
        <f t="shared" si="17"/>
        <v>7</v>
      </c>
      <c r="E670" s="37"/>
      <c r="F670" s="9" t="s">
        <v>633</v>
      </c>
      <c r="G670" s="7"/>
    </row>
    <row r="671" ht="15.75" customHeight="1">
      <c r="A671" s="36">
        <v>44133.0</v>
      </c>
      <c r="B671" s="36">
        <v>44140.0</v>
      </c>
      <c r="C671" s="37" t="str">
        <f t="shared" si="16"/>
        <v>Thursday</v>
      </c>
      <c r="D671" s="7">
        <f t="shared" si="17"/>
        <v>7</v>
      </c>
      <c r="E671" s="37"/>
      <c r="F671" s="9" t="s">
        <v>634</v>
      </c>
      <c r="G671" s="7"/>
    </row>
    <row r="672" ht="15.75" customHeight="1">
      <c r="A672" s="67"/>
      <c r="B672" s="67"/>
      <c r="C672" s="37" t="str">
        <f t="shared" si="16"/>
        <v/>
      </c>
      <c r="D672" s="7" t="str">
        <f t="shared" si="17"/>
        <v/>
      </c>
      <c r="E672" s="37"/>
      <c r="F672" s="9" t="s">
        <v>635</v>
      </c>
      <c r="G672" s="7"/>
    </row>
    <row r="673" ht="15.75" customHeight="1">
      <c r="A673" s="36">
        <v>44126.0</v>
      </c>
      <c r="B673" s="36">
        <v>44133.0</v>
      </c>
      <c r="C673" s="37" t="str">
        <f t="shared" si="16"/>
        <v>Thursday</v>
      </c>
      <c r="D673" s="7">
        <f t="shared" si="17"/>
        <v>7</v>
      </c>
      <c r="E673" s="37"/>
      <c r="F673" s="9" t="s">
        <v>455</v>
      </c>
      <c r="G673" s="7"/>
    </row>
    <row r="674" ht="15.75" customHeight="1">
      <c r="A674" s="67"/>
      <c r="B674" s="67"/>
      <c r="C674" s="37" t="str">
        <f t="shared" si="16"/>
        <v/>
      </c>
      <c r="D674" s="7" t="str">
        <f t="shared" si="17"/>
        <v/>
      </c>
      <c r="E674" s="37"/>
      <c r="F674" s="9" t="s">
        <v>636</v>
      </c>
      <c r="G674" s="7"/>
    </row>
    <row r="675" ht="15.75" customHeight="1">
      <c r="A675" s="36">
        <v>44119.0</v>
      </c>
      <c r="B675" s="36">
        <v>44126.0</v>
      </c>
      <c r="C675" s="37" t="str">
        <f t="shared" si="16"/>
        <v>Thursday</v>
      </c>
      <c r="D675" s="7">
        <f t="shared" si="17"/>
        <v>7</v>
      </c>
      <c r="E675" s="37"/>
      <c r="F675" s="9" t="s">
        <v>637</v>
      </c>
      <c r="G675" s="7"/>
    </row>
    <row r="676" ht="15.75" customHeight="1">
      <c r="A676" s="67"/>
      <c r="B676" s="67"/>
      <c r="C676" s="37" t="str">
        <f t="shared" si="16"/>
        <v/>
      </c>
      <c r="D676" s="7" t="str">
        <f t="shared" si="17"/>
        <v/>
      </c>
      <c r="E676" s="8" t="s">
        <v>9</v>
      </c>
      <c r="F676" s="9" t="s">
        <v>638</v>
      </c>
      <c r="G676" s="7"/>
    </row>
    <row r="677" ht="15.75" customHeight="1">
      <c r="A677" s="36">
        <v>44112.0</v>
      </c>
      <c r="B677" s="36">
        <v>44119.0</v>
      </c>
      <c r="C677" s="37" t="str">
        <f t="shared" si="16"/>
        <v>Thursday</v>
      </c>
      <c r="D677" s="7">
        <f t="shared" si="17"/>
        <v>7</v>
      </c>
      <c r="E677" s="8" t="s">
        <v>9</v>
      </c>
      <c r="F677" s="9" t="s">
        <v>639</v>
      </c>
      <c r="G677" s="7"/>
    </row>
    <row r="678" ht="15.75" customHeight="1">
      <c r="A678" s="36"/>
      <c r="B678" s="36"/>
      <c r="C678" s="37" t="str">
        <f t="shared" si="16"/>
        <v/>
      </c>
      <c r="D678" s="7" t="str">
        <f t="shared" si="17"/>
        <v/>
      </c>
      <c r="E678" s="37"/>
      <c r="F678" s="9" t="s">
        <v>467</v>
      </c>
      <c r="G678" s="7"/>
    </row>
    <row r="679" ht="15.75" customHeight="1">
      <c r="A679" s="36">
        <v>44105.0</v>
      </c>
      <c r="B679" s="36">
        <v>44112.0</v>
      </c>
      <c r="C679" s="37" t="str">
        <f t="shared" si="16"/>
        <v>Thursday</v>
      </c>
      <c r="D679" s="7">
        <f t="shared" si="17"/>
        <v>7</v>
      </c>
      <c r="E679" s="37"/>
      <c r="F679" s="9" t="s">
        <v>640</v>
      </c>
      <c r="G679" s="7"/>
    </row>
    <row r="680" ht="15.75" customHeight="1">
      <c r="A680" s="36">
        <v>44098.0</v>
      </c>
      <c r="B680" s="36">
        <v>44105.0</v>
      </c>
      <c r="C680" s="37" t="str">
        <f t="shared" si="16"/>
        <v>Thursday</v>
      </c>
      <c r="D680" s="7">
        <f t="shared" si="17"/>
        <v>7</v>
      </c>
      <c r="E680" s="37"/>
      <c r="F680" s="9" t="s">
        <v>641</v>
      </c>
      <c r="G680" s="7"/>
    </row>
    <row r="681" ht="15.75" customHeight="1">
      <c r="A681" s="36">
        <v>44091.0</v>
      </c>
      <c r="B681" s="36">
        <v>44098.0</v>
      </c>
      <c r="C681" s="37" t="str">
        <f t="shared" si="16"/>
        <v>Thursday</v>
      </c>
      <c r="D681" s="7">
        <f t="shared" si="17"/>
        <v>7</v>
      </c>
      <c r="E681" s="37"/>
      <c r="F681" s="9" t="s">
        <v>642</v>
      </c>
      <c r="G681" s="7"/>
    </row>
    <row r="682" ht="15.75" customHeight="1">
      <c r="A682" s="67"/>
      <c r="B682" s="67"/>
      <c r="C682" s="37" t="str">
        <f t="shared" si="16"/>
        <v/>
      </c>
      <c r="D682" s="7" t="str">
        <f t="shared" si="17"/>
        <v/>
      </c>
      <c r="E682" s="37"/>
      <c r="F682" s="9" t="s">
        <v>643</v>
      </c>
      <c r="G682" s="7"/>
    </row>
    <row r="683" ht="15.75" customHeight="1">
      <c r="A683" s="36"/>
      <c r="B683" s="67"/>
      <c r="C683" s="37" t="str">
        <f t="shared" si="16"/>
        <v/>
      </c>
      <c r="D683" s="7" t="str">
        <f t="shared" si="17"/>
        <v/>
      </c>
      <c r="E683" s="37"/>
      <c r="F683" s="9" t="s">
        <v>644</v>
      </c>
      <c r="G683" s="9"/>
    </row>
    <row r="684" ht="15.75" customHeight="1">
      <c r="A684" s="36">
        <v>44084.0</v>
      </c>
      <c r="B684" s="36">
        <v>44091.0</v>
      </c>
      <c r="C684" s="37" t="str">
        <f t="shared" si="16"/>
        <v>Thursday</v>
      </c>
      <c r="D684" s="7">
        <f t="shared" si="17"/>
        <v>7</v>
      </c>
      <c r="E684" s="37"/>
      <c r="F684" s="9" t="s">
        <v>645</v>
      </c>
      <c r="G684" s="7"/>
    </row>
    <row r="685" ht="15.75" customHeight="1">
      <c r="A685" s="67"/>
      <c r="B685" s="67"/>
      <c r="C685" s="37" t="str">
        <f t="shared" si="16"/>
        <v/>
      </c>
      <c r="D685" s="7" t="str">
        <f t="shared" si="17"/>
        <v/>
      </c>
      <c r="E685" s="37"/>
      <c r="F685" s="9" t="s">
        <v>646</v>
      </c>
      <c r="G685" s="7"/>
    </row>
    <row r="686" ht="15.75" customHeight="1">
      <c r="A686" s="36">
        <v>44077.0</v>
      </c>
      <c r="B686" s="36">
        <v>44084.0</v>
      </c>
      <c r="C686" s="37" t="str">
        <f t="shared" si="16"/>
        <v>Thursday</v>
      </c>
      <c r="D686" s="7">
        <f t="shared" si="17"/>
        <v>7</v>
      </c>
      <c r="E686" s="8" t="s">
        <v>9</v>
      </c>
      <c r="F686" s="9" t="s">
        <v>647</v>
      </c>
      <c r="G686" s="7"/>
    </row>
    <row r="687" ht="15.75" customHeight="1">
      <c r="A687" s="49">
        <v>44075.0</v>
      </c>
      <c r="B687" s="49">
        <v>44106.0</v>
      </c>
      <c r="C687" s="50" t="str">
        <f t="shared" si="16"/>
        <v>Tuesday</v>
      </c>
      <c r="D687" s="12">
        <f t="shared" si="17"/>
        <v>31</v>
      </c>
      <c r="E687" s="13" t="s">
        <v>21</v>
      </c>
      <c r="F687" s="14" t="s">
        <v>648</v>
      </c>
      <c r="G687" s="14"/>
    </row>
    <row r="688" ht="15.75" customHeight="1">
      <c r="A688" s="36">
        <v>44070.0</v>
      </c>
      <c r="B688" s="36">
        <v>44077.0</v>
      </c>
      <c r="C688" s="37" t="str">
        <f t="shared" si="16"/>
        <v>Thursday</v>
      </c>
      <c r="D688" s="7">
        <f t="shared" si="17"/>
        <v>7</v>
      </c>
      <c r="E688" s="8" t="s">
        <v>11</v>
      </c>
      <c r="F688" s="9" t="s">
        <v>649</v>
      </c>
      <c r="G688" s="9"/>
    </row>
    <row r="689" ht="15.75" customHeight="1">
      <c r="A689" s="36"/>
      <c r="B689" s="36"/>
      <c r="C689" s="37" t="str">
        <f t="shared" si="16"/>
        <v/>
      </c>
      <c r="D689" s="7" t="str">
        <f t="shared" si="17"/>
        <v/>
      </c>
      <c r="E689" s="8"/>
      <c r="F689" s="9" t="s">
        <v>650</v>
      </c>
      <c r="G689" s="9" t="s">
        <v>651</v>
      </c>
    </row>
    <row r="690" ht="15.75" customHeight="1">
      <c r="A690" s="36"/>
      <c r="B690" s="36"/>
      <c r="C690" s="37" t="str">
        <f t="shared" si="16"/>
        <v/>
      </c>
      <c r="D690" s="7" t="str">
        <f t="shared" si="17"/>
        <v/>
      </c>
      <c r="E690" s="37"/>
      <c r="F690" s="70"/>
      <c r="G690" s="9" t="s">
        <v>652</v>
      </c>
    </row>
    <row r="691" ht="15.75" customHeight="1">
      <c r="A691" s="67"/>
      <c r="B691" s="67"/>
      <c r="C691" s="37" t="str">
        <f t="shared" si="16"/>
        <v/>
      </c>
      <c r="D691" s="7" t="str">
        <f t="shared" si="17"/>
        <v/>
      </c>
      <c r="E691" s="37"/>
      <c r="F691" s="70"/>
      <c r="G691" s="58" t="s">
        <v>653</v>
      </c>
    </row>
    <row r="692" ht="15.75" customHeight="1">
      <c r="A692" s="36">
        <v>44063.0</v>
      </c>
      <c r="B692" s="36">
        <v>44070.0</v>
      </c>
      <c r="C692" s="37" t="str">
        <f t="shared" si="16"/>
        <v>Thursday</v>
      </c>
      <c r="D692" s="7">
        <f t="shared" si="17"/>
        <v>7</v>
      </c>
      <c r="E692" s="37"/>
      <c r="F692" s="9" t="s">
        <v>654</v>
      </c>
      <c r="G692" s="7"/>
    </row>
    <row r="693" ht="15.75" customHeight="1">
      <c r="A693" s="67"/>
      <c r="B693" s="67"/>
      <c r="C693" s="37" t="str">
        <f t="shared" si="16"/>
        <v/>
      </c>
      <c r="D693" s="7" t="str">
        <f t="shared" si="17"/>
        <v/>
      </c>
      <c r="E693" s="8" t="s">
        <v>9</v>
      </c>
      <c r="F693" s="9" t="s">
        <v>655</v>
      </c>
      <c r="G693" s="7"/>
    </row>
    <row r="694" ht="15.75" customHeight="1">
      <c r="A694" s="36">
        <v>44056.0</v>
      </c>
      <c r="B694" s="36">
        <v>44063.0</v>
      </c>
      <c r="C694" s="37" t="str">
        <f t="shared" si="16"/>
        <v>Thursday</v>
      </c>
      <c r="D694" s="7">
        <f t="shared" si="17"/>
        <v>7</v>
      </c>
      <c r="E694" s="37"/>
      <c r="F694" s="9" t="s">
        <v>656</v>
      </c>
      <c r="G694" s="7"/>
    </row>
    <row r="695" ht="15.75" customHeight="1">
      <c r="A695" s="67"/>
      <c r="B695" s="67"/>
      <c r="C695" s="37" t="str">
        <f t="shared" si="16"/>
        <v/>
      </c>
      <c r="D695" s="7" t="str">
        <f t="shared" si="17"/>
        <v/>
      </c>
      <c r="E695" s="37"/>
      <c r="F695" s="9" t="s">
        <v>657</v>
      </c>
      <c r="G695" s="7"/>
    </row>
    <row r="696" ht="15.75" customHeight="1">
      <c r="A696" s="49">
        <v>44056.0</v>
      </c>
      <c r="B696" s="49">
        <v>44057.0</v>
      </c>
      <c r="C696" s="50" t="str">
        <f t="shared" si="16"/>
        <v>Thursday</v>
      </c>
      <c r="D696" s="12">
        <f t="shared" si="17"/>
        <v>1</v>
      </c>
      <c r="E696" s="13" t="s">
        <v>17</v>
      </c>
      <c r="F696" s="14" t="s">
        <v>658</v>
      </c>
      <c r="G696" s="14"/>
    </row>
    <row r="697" ht="15.75" customHeight="1">
      <c r="A697" s="36">
        <v>44049.0</v>
      </c>
      <c r="B697" s="36">
        <v>44056.0</v>
      </c>
      <c r="C697" s="37" t="str">
        <f t="shared" si="16"/>
        <v>Thursday</v>
      </c>
      <c r="D697" s="7">
        <f t="shared" si="17"/>
        <v>7</v>
      </c>
      <c r="E697" s="8" t="s">
        <v>11</v>
      </c>
      <c r="F697" s="9" t="s">
        <v>659</v>
      </c>
      <c r="G697" s="9"/>
    </row>
    <row r="698" ht="15.75" customHeight="1">
      <c r="A698" s="67"/>
      <c r="B698" s="67"/>
      <c r="C698" s="37" t="str">
        <f t="shared" si="16"/>
        <v/>
      </c>
      <c r="D698" s="7" t="str">
        <f t="shared" si="17"/>
        <v/>
      </c>
      <c r="E698" s="37"/>
      <c r="F698" s="9" t="s">
        <v>660</v>
      </c>
      <c r="G698" s="7"/>
    </row>
    <row r="699" ht="15.75" customHeight="1">
      <c r="A699" s="36">
        <v>44042.0</v>
      </c>
      <c r="B699" s="36">
        <v>44049.0</v>
      </c>
      <c r="C699" s="37" t="str">
        <f t="shared" si="16"/>
        <v>Thursday</v>
      </c>
      <c r="D699" s="7">
        <f t="shared" si="17"/>
        <v>7</v>
      </c>
      <c r="E699" s="37"/>
      <c r="F699" s="9" t="s">
        <v>661</v>
      </c>
      <c r="G699" s="7"/>
    </row>
    <row r="700" ht="15.75" customHeight="1">
      <c r="A700" s="67"/>
      <c r="B700" s="67"/>
      <c r="C700" s="37" t="str">
        <f t="shared" si="16"/>
        <v/>
      </c>
      <c r="D700" s="7" t="str">
        <f t="shared" si="17"/>
        <v/>
      </c>
      <c r="E700" s="37"/>
      <c r="F700" s="9" t="s">
        <v>662</v>
      </c>
      <c r="G700" s="7"/>
    </row>
    <row r="701" ht="15.75" customHeight="1">
      <c r="A701" s="67"/>
      <c r="B701" s="67"/>
      <c r="C701" s="37" t="str">
        <f t="shared" si="16"/>
        <v/>
      </c>
      <c r="D701" s="7" t="str">
        <f t="shared" si="17"/>
        <v/>
      </c>
      <c r="E701" s="37"/>
      <c r="F701" s="9" t="s">
        <v>663</v>
      </c>
      <c r="G701" s="7"/>
    </row>
    <row r="702" ht="15.75" customHeight="1">
      <c r="A702" s="36">
        <v>44035.0</v>
      </c>
      <c r="B702" s="36">
        <v>44042.0</v>
      </c>
      <c r="C702" s="37" t="str">
        <f t="shared" si="16"/>
        <v>Thursday</v>
      </c>
      <c r="D702" s="7">
        <f t="shared" si="17"/>
        <v>7</v>
      </c>
      <c r="E702" s="37"/>
      <c r="F702" s="9" t="s">
        <v>664</v>
      </c>
      <c r="G702" s="7"/>
    </row>
    <row r="703" ht="15.75" customHeight="1">
      <c r="A703" s="67"/>
      <c r="B703" s="67"/>
      <c r="C703" s="37" t="str">
        <f t="shared" si="16"/>
        <v/>
      </c>
      <c r="D703" s="7" t="str">
        <f t="shared" si="17"/>
        <v/>
      </c>
      <c r="E703" s="37"/>
      <c r="F703" s="9" t="s">
        <v>665</v>
      </c>
      <c r="G703" s="7"/>
    </row>
    <row r="704" ht="15.75" customHeight="1">
      <c r="A704" s="36">
        <v>44028.0</v>
      </c>
      <c r="B704" s="36">
        <v>44035.0</v>
      </c>
      <c r="C704" s="37" t="str">
        <f t="shared" si="16"/>
        <v>Thursday</v>
      </c>
      <c r="D704" s="7">
        <f t="shared" si="17"/>
        <v>7</v>
      </c>
      <c r="E704" s="37"/>
      <c r="F704" s="9" t="s">
        <v>616</v>
      </c>
      <c r="G704" s="7"/>
    </row>
    <row r="705" ht="15.75" customHeight="1">
      <c r="A705" s="36">
        <v>44021.0</v>
      </c>
      <c r="B705" s="36">
        <v>44028.0</v>
      </c>
      <c r="C705" s="37" t="str">
        <f t="shared" si="16"/>
        <v>Thursday</v>
      </c>
      <c r="D705" s="7">
        <f t="shared" si="17"/>
        <v>7</v>
      </c>
      <c r="E705" s="37"/>
      <c r="F705" s="9" t="s">
        <v>497</v>
      </c>
      <c r="G705" s="7"/>
    </row>
    <row r="706" ht="15.75" customHeight="1">
      <c r="A706" s="67"/>
      <c r="B706" s="67"/>
      <c r="C706" s="37" t="str">
        <f t="shared" si="16"/>
        <v/>
      </c>
      <c r="D706" s="7" t="str">
        <f t="shared" si="17"/>
        <v/>
      </c>
      <c r="E706" s="37"/>
      <c r="F706" s="9" t="s">
        <v>666</v>
      </c>
      <c r="G706" s="7"/>
    </row>
    <row r="707" ht="15.75" customHeight="1">
      <c r="A707" s="67"/>
      <c r="B707" s="67"/>
      <c r="C707" s="37" t="str">
        <f t="shared" si="16"/>
        <v/>
      </c>
      <c r="D707" s="7" t="str">
        <f t="shared" si="17"/>
        <v/>
      </c>
      <c r="E707" s="37"/>
      <c r="F707" s="9" t="s">
        <v>667</v>
      </c>
      <c r="G707" s="7"/>
    </row>
    <row r="708" ht="15.75" customHeight="1">
      <c r="A708" s="36">
        <v>44014.0</v>
      </c>
      <c r="B708" s="36">
        <v>44021.0</v>
      </c>
      <c r="C708" s="37" t="str">
        <f t="shared" si="16"/>
        <v>Thursday</v>
      </c>
      <c r="D708" s="7">
        <f t="shared" si="17"/>
        <v>7</v>
      </c>
      <c r="E708" s="37"/>
      <c r="F708" s="9" t="s">
        <v>668</v>
      </c>
      <c r="G708" s="7"/>
    </row>
    <row r="709" ht="15.75" customHeight="1">
      <c r="A709" s="36">
        <v>44007.0</v>
      </c>
      <c r="B709" s="36">
        <v>44014.0</v>
      </c>
      <c r="C709" s="37" t="str">
        <f t="shared" si="16"/>
        <v>Thursday</v>
      </c>
      <c r="D709" s="7">
        <f t="shared" si="17"/>
        <v>7</v>
      </c>
      <c r="E709" s="37"/>
      <c r="F709" s="9" t="s">
        <v>669</v>
      </c>
      <c r="G709" s="7"/>
    </row>
    <row r="710" ht="15.75" customHeight="1">
      <c r="A710" s="67"/>
      <c r="B710" s="67"/>
      <c r="C710" s="37" t="str">
        <f t="shared" si="16"/>
        <v/>
      </c>
      <c r="D710" s="7" t="str">
        <f t="shared" si="17"/>
        <v/>
      </c>
      <c r="E710" s="37"/>
      <c r="F710" s="9" t="s">
        <v>670</v>
      </c>
      <c r="G710" s="7"/>
    </row>
    <row r="711" ht="15.75" customHeight="1">
      <c r="A711" s="36">
        <v>44000.0</v>
      </c>
      <c r="B711" s="36">
        <v>44007.0</v>
      </c>
      <c r="C711" s="37" t="str">
        <f t="shared" si="16"/>
        <v>Thursday</v>
      </c>
      <c r="D711" s="7">
        <f t="shared" si="17"/>
        <v>7</v>
      </c>
      <c r="E711" s="37"/>
      <c r="F711" s="9" t="s">
        <v>671</v>
      </c>
      <c r="G711" s="7"/>
    </row>
    <row r="712" ht="15.75" customHeight="1">
      <c r="A712" s="36">
        <v>43993.0</v>
      </c>
      <c r="B712" s="36">
        <v>44000.0</v>
      </c>
      <c r="C712" s="37" t="str">
        <f t="shared" si="16"/>
        <v>Thursday</v>
      </c>
      <c r="D712" s="7">
        <f t="shared" si="17"/>
        <v>7</v>
      </c>
      <c r="E712" s="37"/>
      <c r="F712" s="9" t="s">
        <v>672</v>
      </c>
      <c r="G712" s="7"/>
    </row>
    <row r="713" ht="15.75" customHeight="1">
      <c r="A713" s="67"/>
      <c r="B713" s="67"/>
      <c r="C713" s="37" t="str">
        <f t="shared" si="16"/>
        <v/>
      </c>
      <c r="D713" s="7" t="str">
        <f t="shared" si="17"/>
        <v/>
      </c>
      <c r="E713" s="37"/>
      <c r="F713" s="9" t="s">
        <v>673</v>
      </c>
      <c r="G713" s="7"/>
    </row>
    <row r="714" ht="15.75" customHeight="1">
      <c r="A714" s="36">
        <v>43986.0</v>
      </c>
      <c r="B714" s="36">
        <v>43993.0</v>
      </c>
      <c r="C714" s="37" t="str">
        <f t="shared" si="16"/>
        <v>Thursday</v>
      </c>
      <c r="D714" s="7">
        <f t="shared" si="17"/>
        <v>7</v>
      </c>
      <c r="E714" s="8" t="s">
        <v>9</v>
      </c>
      <c r="F714" s="9" t="s">
        <v>674</v>
      </c>
      <c r="G714" s="7"/>
    </row>
    <row r="715" ht="15.75" customHeight="1">
      <c r="A715" s="49">
        <v>43979.0</v>
      </c>
      <c r="B715" s="49">
        <v>44344.0</v>
      </c>
      <c r="C715" s="50" t="str">
        <f t="shared" si="16"/>
        <v>Thursday</v>
      </c>
      <c r="D715" s="12">
        <f t="shared" si="17"/>
        <v>365</v>
      </c>
      <c r="E715" s="13" t="s">
        <v>17</v>
      </c>
      <c r="F715" s="14" t="s">
        <v>675</v>
      </c>
      <c r="G715" s="14"/>
    </row>
    <row r="716" ht="15.75" customHeight="1">
      <c r="A716" s="30">
        <v>43979.0</v>
      </c>
      <c r="B716" s="30">
        <v>43986.0</v>
      </c>
      <c r="C716" s="31" t="str">
        <f t="shared" si="16"/>
        <v>Thursday</v>
      </c>
      <c r="D716" s="32">
        <f t="shared" si="17"/>
        <v>7</v>
      </c>
      <c r="E716" s="31"/>
      <c r="F716" s="34" t="s">
        <v>676</v>
      </c>
      <c r="G716" s="69" t="s">
        <v>677</v>
      </c>
    </row>
    <row r="717" ht="15.75" customHeight="1">
      <c r="A717" s="68"/>
      <c r="B717" s="68"/>
      <c r="C717" s="31" t="str">
        <f t="shared" si="16"/>
        <v/>
      </c>
      <c r="D717" s="32" t="str">
        <f t="shared" si="17"/>
        <v/>
      </c>
      <c r="E717" s="31"/>
      <c r="F717" s="69"/>
      <c r="G717" s="69" t="s">
        <v>678</v>
      </c>
    </row>
    <row r="718" ht="15.75" customHeight="1">
      <c r="A718" s="30">
        <v>43972.0</v>
      </c>
      <c r="B718" s="30">
        <v>43979.0</v>
      </c>
      <c r="C718" s="31" t="str">
        <f t="shared" si="16"/>
        <v>Thursday</v>
      </c>
      <c r="D718" s="32">
        <f t="shared" si="17"/>
        <v>7</v>
      </c>
      <c r="E718" s="31"/>
      <c r="F718" s="34" t="s">
        <v>679</v>
      </c>
      <c r="G718" s="32"/>
    </row>
    <row r="719" ht="15.75" customHeight="1">
      <c r="A719" s="30">
        <v>43965.0</v>
      </c>
      <c r="B719" s="30">
        <v>43972.0</v>
      </c>
      <c r="C719" s="31" t="str">
        <f t="shared" si="16"/>
        <v>Thursday</v>
      </c>
      <c r="D719" s="32">
        <f t="shared" si="17"/>
        <v>7</v>
      </c>
      <c r="E719" s="31"/>
      <c r="F719" s="34" t="s">
        <v>680</v>
      </c>
      <c r="G719" s="32"/>
    </row>
    <row r="720" ht="15.75" customHeight="1">
      <c r="A720" s="36">
        <v>43958.0</v>
      </c>
      <c r="B720" s="36">
        <v>43965.0</v>
      </c>
      <c r="C720" s="37" t="str">
        <f t="shared" si="16"/>
        <v>Thursday</v>
      </c>
      <c r="D720" s="7">
        <f t="shared" si="17"/>
        <v>7</v>
      </c>
      <c r="E720" s="37"/>
      <c r="F720" s="9" t="s">
        <v>681</v>
      </c>
      <c r="G720" s="7"/>
    </row>
    <row r="721" ht="15.75" customHeight="1">
      <c r="A721" s="36">
        <v>43951.0</v>
      </c>
      <c r="B721" s="36">
        <v>43958.0</v>
      </c>
      <c r="C721" s="37" t="str">
        <f t="shared" si="16"/>
        <v>Thursday</v>
      </c>
      <c r="D721" s="7">
        <f t="shared" si="17"/>
        <v>7</v>
      </c>
      <c r="E721" s="37"/>
      <c r="F721" s="9" t="s">
        <v>682</v>
      </c>
      <c r="G721" s="7"/>
    </row>
    <row r="722" ht="15.75" customHeight="1">
      <c r="A722" s="67"/>
      <c r="B722" s="67"/>
      <c r="C722" s="37" t="str">
        <f t="shared" si="16"/>
        <v/>
      </c>
      <c r="D722" s="7" t="str">
        <f t="shared" si="17"/>
        <v/>
      </c>
      <c r="E722" s="37"/>
      <c r="F722" s="9" t="s">
        <v>683</v>
      </c>
      <c r="G722" s="7"/>
    </row>
    <row r="723" ht="15.75" customHeight="1">
      <c r="A723" s="36">
        <v>43944.0</v>
      </c>
      <c r="B723" s="36">
        <v>43951.0</v>
      </c>
      <c r="C723" s="37" t="str">
        <f t="shared" si="16"/>
        <v>Thursday</v>
      </c>
      <c r="D723" s="7">
        <f t="shared" si="17"/>
        <v>7</v>
      </c>
      <c r="E723" s="37"/>
      <c r="F723" s="9" t="s">
        <v>611</v>
      </c>
      <c r="G723" s="7"/>
    </row>
    <row r="724" ht="15.75" customHeight="1">
      <c r="A724" s="36">
        <v>43937.0</v>
      </c>
      <c r="B724" s="36">
        <v>43944.0</v>
      </c>
      <c r="C724" s="37" t="str">
        <f t="shared" si="16"/>
        <v>Thursday</v>
      </c>
      <c r="D724" s="7">
        <f t="shared" si="17"/>
        <v>7</v>
      </c>
      <c r="E724" s="37"/>
      <c r="F724" s="9" t="s">
        <v>684</v>
      </c>
      <c r="G724" s="7"/>
    </row>
    <row r="725" ht="15.75" customHeight="1">
      <c r="A725" s="67"/>
      <c r="B725" s="67"/>
      <c r="C725" s="37" t="str">
        <f t="shared" si="16"/>
        <v/>
      </c>
      <c r="D725" s="7" t="str">
        <f t="shared" si="17"/>
        <v/>
      </c>
      <c r="E725" s="37"/>
      <c r="F725" s="9" t="s">
        <v>685</v>
      </c>
      <c r="G725" s="7"/>
    </row>
    <row r="726" ht="15.75" customHeight="1">
      <c r="A726" s="36">
        <v>43930.0</v>
      </c>
      <c r="B726" s="36">
        <v>43937.0</v>
      </c>
      <c r="C726" s="37" t="str">
        <f t="shared" si="16"/>
        <v>Thursday</v>
      </c>
      <c r="D726" s="7">
        <f t="shared" si="17"/>
        <v>7</v>
      </c>
      <c r="E726" s="37"/>
      <c r="F726" s="9" t="s">
        <v>686</v>
      </c>
      <c r="G726" s="9"/>
    </row>
    <row r="727" ht="15.75" customHeight="1">
      <c r="A727" s="67"/>
      <c r="B727" s="67"/>
      <c r="C727" s="37" t="str">
        <f t="shared" si="16"/>
        <v/>
      </c>
      <c r="D727" s="7" t="str">
        <f t="shared" si="17"/>
        <v/>
      </c>
      <c r="E727" s="37"/>
      <c r="F727" s="9" t="s">
        <v>687</v>
      </c>
      <c r="G727" s="7"/>
    </row>
    <row r="728" ht="15.75" customHeight="1">
      <c r="A728" s="36">
        <v>43923.0</v>
      </c>
      <c r="B728" s="36">
        <v>43930.0</v>
      </c>
      <c r="C728" s="37" t="str">
        <f t="shared" si="16"/>
        <v>Thursday</v>
      </c>
      <c r="D728" s="7">
        <f t="shared" si="17"/>
        <v>7</v>
      </c>
      <c r="E728" s="37"/>
      <c r="F728" s="9" t="s">
        <v>688</v>
      </c>
      <c r="G728" s="7"/>
    </row>
    <row r="729" ht="15.75" customHeight="1">
      <c r="A729" s="67"/>
      <c r="B729" s="67"/>
      <c r="C729" s="37" t="str">
        <f t="shared" si="16"/>
        <v/>
      </c>
      <c r="D729" s="7" t="str">
        <f t="shared" si="17"/>
        <v/>
      </c>
      <c r="E729" s="37"/>
      <c r="F729" s="9" t="s">
        <v>689</v>
      </c>
      <c r="G729" s="7"/>
    </row>
    <row r="730" ht="15.75" customHeight="1">
      <c r="A730" s="49">
        <v>43922.0</v>
      </c>
      <c r="B730" s="49">
        <v>43929.0</v>
      </c>
      <c r="C730" s="50" t="str">
        <f t="shared" si="16"/>
        <v>Wednesday</v>
      </c>
      <c r="D730" s="12">
        <f t="shared" si="17"/>
        <v>7</v>
      </c>
      <c r="E730" s="13" t="s">
        <v>17</v>
      </c>
      <c r="F730" s="14" t="s">
        <v>690</v>
      </c>
      <c r="G730" s="14"/>
    </row>
    <row r="731" ht="15.75" customHeight="1">
      <c r="A731" s="49">
        <v>43917.0</v>
      </c>
      <c r="B731" s="49">
        <v>43930.0</v>
      </c>
      <c r="C731" s="50" t="str">
        <f t="shared" si="16"/>
        <v>Friday</v>
      </c>
      <c r="D731" s="12">
        <f t="shared" si="17"/>
        <v>13</v>
      </c>
      <c r="E731" s="13" t="s">
        <v>17</v>
      </c>
      <c r="F731" s="72" t="s">
        <v>691</v>
      </c>
      <c r="G731" s="14"/>
    </row>
    <row r="732" ht="15.75" customHeight="1">
      <c r="A732" s="36">
        <v>43916.0</v>
      </c>
      <c r="B732" s="36">
        <v>43923.0</v>
      </c>
      <c r="C732" s="37" t="str">
        <f t="shared" si="16"/>
        <v>Thursday</v>
      </c>
      <c r="D732" s="7">
        <f t="shared" si="17"/>
        <v>7</v>
      </c>
      <c r="E732" s="37"/>
      <c r="F732" s="9" t="s">
        <v>165</v>
      </c>
      <c r="G732" s="7"/>
    </row>
    <row r="733" ht="15.75" customHeight="1">
      <c r="A733" s="67"/>
      <c r="B733" s="67"/>
      <c r="C733" s="37" t="str">
        <f t="shared" si="16"/>
        <v/>
      </c>
      <c r="D733" s="7" t="str">
        <f t="shared" si="17"/>
        <v/>
      </c>
      <c r="E733" s="37"/>
      <c r="F733" s="9" t="s">
        <v>692</v>
      </c>
      <c r="G733" s="7"/>
    </row>
    <row r="734" ht="15.75" customHeight="1">
      <c r="A734" s="67"/>
      <c r="B734" s="67"/>
      <c r="C734" s="37" t="str">
        <f t="shared" si="16"/>
        <v/>
      </c>
      <c r="D734" s="7" t="str">
        <f t="shared" si="17"/>
        <v/>
      </c>
      <c r="E734" s="37"/>
      <c r="F734" s="9" t="s">
        <v>693</v>
      </c>
      <c r="G734" s="9"/>
    </row>
    <row r="735" ht="15.75" customHeight="1">
      <c r="A735" s="36">
        <v>43909.0</v>
      </c>
      <c r="B735" s="36">
        <v>43916.0</v>
      </c>
      <c r="C735" s="37" t="str">
        <f t="shared" si="16"/>
        <v>Thursday</v>
      </c>
      <c r="D735" s="7">
        <f t="shared" si="17"/>
        <v>7</v>
      </c>
      <c r="E735" s="37"/>
      <c r="F735" s="9" t="s">
        <v>694</v>
      </c>
      <c r="G735" s="7"/>
    </row>
    <row r="736" ht="15.75" customHeight="1">
      <c r="A736" s="67"/>
      <c r="B736" s="67"/>
      <c r="C736" s="37" t="str">
        <f t="shared" si="16"/>
        <v/>
      </c>
      <c r="D736" s="7" t="str">
        <f t="shared" si="17"/>
        <v/>
      </c>
      <c r="E736" s="37"/>
      <c r="F736" s="9" t="s">
        <v>695</v>
      </c>
      <c r="G736" s="7"/>
    </row>
    <row r="737" ht="15.75" customHeight="1">
      <c r="A737" s="36">
        <v>43902.0</v>
      </c>
      <c r="B737" s="36">
        <v>43909.0</v>
      </c>
      <c r="C737" s="37" t="str">
        <f t="shared" si="16"/>
        <v>Thursday</v>
      </c>
      <c r="D737" s="7">
        <f t="shared" si="17"/>
        <v>7</v>
      </c>
      <c r="E737" s="37"/>
      <c r="F737" s="9" t="s">
        <v>696</v>
      </c>
      <c r="G737" s="7"/>
    </row>
    <row r="738" ht="15.75" customHeight="1">
      <c r="A738" s="67"/>
      <c r="B738" s="67"/>
      <c r="C738" s="37" t="str">
        <f t="shared" si="16"/>
        <v/>
      </c>
      <c r="D738" s="7" t="str">
        <f t="shared" si="17"/>
        <v/>
      </c>
      <c r="E738" s="37"/>
      <c r="F738" s="9" t="s">
        <v>697</v>
      </c>
      <c r="G738" s="7"/>
    </row>
    <row r="739" ht="15.75" customHeight="1">
      <c r="A739" s="67"/>
      <c r="B739" s="67"/>
      <c r="C739" s="37" t="str">
        <f t="shared" si="16"/>
        <v/>
      </c>
      <c r="D739" s="7" t="str">
        <f t="shared" si="17"/>
        <v/>
      </c>
      <c r="E739" s="37"/>
      <c r="F739" s="9" t="s">
        <v>698</v>
      </c>
      <c r="G739" s="7"/>
    </row>
    <row r="740" ht="15.75" customHeight="1">
      <c r="A740" s="36">
        <v>43895.0</v>
      </c>
      <c r="B740" s="36">
        <v>43902.0</v>
      </c>
      <c r="C740" s="37" t="str">
        <f t="shared" si="16"/>
        <v>Thursday</v>
      </c>
      <c r="D740" s="7">
        <f t="shared" si="17"/>
        <v>7</v>
      </c>
      <c r="E740" s="37"/>
      <c r="F740" s="9" t="s">
        <v>699</v>
      </c>
      <c r="G740" s="7"/>
    </row>
    <row r="741" ht="15.75" customHeight="1">
      <c r="A741" s="67"/>
      <c r="B741" s="67"/>
      <c r="C741" s="37" t="str">
        <f t="shared" si="16"/>
        <v/>
      </c>
      <c r="D741" s="7" t="str">
        <f t="shared" si="17"/>
        <v/>
      </c>
      <c r="E741" s="37"/>
      <c r="F741" s="9" t="s">
        <v>582</v>
      </c>
      <c r="G741" s="7"/>
    </row>
    <row r="742" ht="15.75" customHeight="1">
      <c r="A742" s="36">
        <v>43888.0</v>
      </c>
      <c r="B742" s="36">
        <v>43895.0</v>
      </c>
      <c r="C742" s="37" t="str">
        <f t="shared" si="16"/>
        <v>Thursday</v>
      </c>
      <c r="D742" s="7">
        <f t="shared" si="17"/>
        <v>7</v>
      </c>
      <c r="E742" s="37"/>
      <c r="F742" s="9" t="s">
        <v>700</v>
      </c>
      <c r="G742" s="7"/>
    </row>
    <row r="743" ht="15.75" customHeight="1">
      <c r="A743" s="36">
        <v>43881.0</v>
      </c>
      <c r="B743" s="36">
        <v>43888.0</v>
      </c>
      <c r="C743" s="37" t="str">
        <f t="shared" si="16"/>
        <v>Thursday</v>
      </c>
      <c r="D743" s="7">
        <f t="shared" si="17"/>
        <v>7</v>
      </c>
      <c r="E743" s="37"/>
      <c r="F743" s="9" t="s">
        <v>701</v>
      </c>
      <c r="G743" s="9"/>
    </row>
    <row r="744" ht="15.75" customHeight="1">
      <c r="A744" s="67"/>
      <c r="B744" s="67"/>
      <c r="C744" s="37" t="str">
        <f t="shared" si="16"/>
        <v/>
      </c>
      <c r="D744" s="7" t="str">
        <f t="shared" si="17"/>
        <v/>
      </c>
      <c r="E744" s="37"/>
      <c r="F744" s="9" t="s">
        <v>702</v>
      </c>
      <c r="G744" s="7"/>
    </row>
    <row r="745" ht="15.75" customHeight="1">
      <c r="A745" s="36">
        <v>43874.0</v>
      </c>
      <c r="B745" s="36">
        <v>43881.0</v>
      </c>
      <c r="C745" s="37" t="str">
        <f t="shared" si="16"/>
        <v>Thursday</v>
      </c>
      <c r="D745" s="7">
        <f t="shared" si="17"/>
        <v>7</v>
      </c>
      <c r="E745" s="37"/>
      <c r="F745" s="9" t="s">
        <v>703</v>
      </c>
      <c r="G745" s="7"/>
    </row>
    <row r="746" ht="15.75" customHeight="1">
      <c r="A746" s="67"/>
      <c r="B746" s="67"/>
      <c r="C746" s="37" t="str">
        <f t="shared" si="16"/>
        <v/>
      </c>
      <c r="D746" s="7" t="str">
        <f t="shared" si="17"/>
        <v/>
      </c>
      <c r="E746" s="37"/>
      <c r="F746" s="9" t="s">
        <v>244</v>
      </c>
      <c r="G746" s="7"/>
    </row>
    <row r="747" ht="15.75" customHeight="1">
      <c r="A747" s="36">
        <v>43867.0</v>
      </c>
      <c r="B747" s="36">
        <v>43874.0</v>
      </c>
      <c r="C747" s="37" t="str">
        <f t="shared" si="16"/>
        <v>Thursday</v>
      </c>
      <c r="D747" s="7">
        <f t="shared" si="17"/>
        <v>7</v>
      </c>
      <c r="E747" s="37"/>
      <c r="F747" s="9" t="s">
        <v>704</v>
      </c>
      <c r="G747" s="9"/>
    </row>
    <row r="748" ht="15.75" customHeight="1">
      <c r="A748" s="67"/>
      <c r="B748" s="67"/>
      <c r="C748" s="37" t="str">
        <f t="shared" si="16"/>
        <v/>
      </c>
      <c r="D748" s="7" t="str">
        <f t="shared" si="17"/>
        <v/>
      </c>
      <c r="E748" s="37"/>
      <c r="F748" s="9" t="s">
        <v>705</v>
      </c>
      <c r="G748" s="7"/>
    </row>
    <row r="749" ht="15.75" customHeight="1">
      <c r="A749" s="36">
        <v>43860.0</v>
      </c>
      <c r="B749" s="36">
        <v>43867.0</v>
      </c>
      <c r="C749" s="37" t="str">
        <f t="shared" si="16"/>
        <v>Thursday</v>
      </c>
      <c r="D749" s="7">
        <f t="shared" si="17"/>
        <v>7</v>
      </c>
      <c r="E749" s="37"/>
      <c r="F749" s="9" t="s">
        <v>706</v>
      </c>
      <c r="G749" s="7"/>
    </row>
    <row r="750" ht="15.75" customHeight="1">
      <c r="A750" s="36">
        <v>43853.0</v>
      </c>
      <c r="B750" s="36">
        <v>43860.0</v>
      </c>
      <c r="C750" s="37" t="str">
        <f t="shared" si="16"/>
        <v>Thursday</v>
      </c>
      <c r="D750" s="7">
        <f t="shared" si="17"/>
        <v>7</v>
      </c>
      <c r="E750" s="37"/>
      <c r="F750" s="9" t="s">
        <v>336</v>
      </c>
      <c r="G750" s="7"/>
    </row>
    <row r="751" ht="15.75" customHeight="1">
      <c r="A751" s="36">
        <v>43846.0</v>
      </c>
      <c r="B751" s="36">
        <v>43853.0</v>
      </c>
      <c r="C751" s="37" t="str">
        <f t="shared" si="16"/>
        <v>Thursday</v>
      </c>
      <c r="D751" s="7">
        <f t="shared" si="17"/>
        <v>7</v>
      </c>
      <c r="E751" s="37"/>
      <c r="F751" s="9" t="s">
        <v>707</v>
      </c>
      <c r="G751" s="7"/>
    </row>
    <row r="752" ht="15.75" customHeight="1">
      <c r="A752" s="36">
        <v>43839.0</v>
      </c>
      <c r="B752" s="36">
        <v>43846.0</v>
      </c>
      <c r="C752" s="37" t="str">
        <f t="shared" si="16"/>
        <v>Thursday</v>
      </c>
      <c r="D752" s="7">
        <f t="shared" si="17"/>
        <v>7</v>
      </c>
      <c r="E752" s="37"/>
      <c r="F752" s="9" t="s">
        <v>708</v>
      </c>
      <c r="G752" s="7"/>
    </row>
    <row r="753" ht="15.75" customHeight="1">
      <c r="A753" s="36">
        <v>43831.0</v>
      </c>
      <c r="B753" s="36">
        <v>43839.0</v>
      </c>
      <c r="C753" s="37" t="str">
        <f t="shared" si="16"/>
        <v>Wednesday</v>
      </c>
      <c r="D753" s="7">
        <f t="shared" si="17"/>
        <v>8</v>
      </c>
      <c r="E753" s="37"/>
      <c r="F753" s="58" t="s">
        <v>709</v>
      </c>
      <c r="G753" s="58" t="s">
        <v>710</v>
      </c>
    </row>
    <row r="754" ht="15.75" customHeight="1">
      <c r="A754" s="67"/>
      <c r="B754" s="67"/>
      <c r="C754" s="37" t="str">
        <f t="shared" si="16"/>
        <v/>
      </c>
      <c r="D754" s="7" t="str">
        <f t="shared" si="17"/>
        <v/>
      </c>
      <c r="E754" s="37"/>
      <c r="F754" s="9"/>
      <c r="G754" s="9" t="s">
        <v>711</v>
      </c>
    </row>
    <row r="755" ht="15.75" customHeight="1">
      <c r="A755" s="67"/>
      <c r="B755" s="67"/>
      <c r="C755" s="37" t="str">
        <f t="shared" si="16"/>
        <v/>
      </c>
      <c r="D755" s="7" t="str">
        <f t="shared" si="17"/>
        <v/>
      </c>
      <c r="E755" s="37"/>
      <c r="F755" s="9" t="s">
        <v>712</v>
      </c>
      <c r="G755" s="7"/>
    </row>
    <row r="756" ht="15.75" customHeight="1">
      <c r="A756" s="30">
        <v>43830.0</v>
      </c>
      <c r="B756" s="30">
        <v>43831.0</v>
      </c>
      <c r="C756" s="31" t="str">
        <f t="shared" si="16"/>
        <v>Tuesday</v>
      </c>
      <c r="D756" s="32">
        <f t="shared" si="17"/>
        <v>1</v>
      </c>
      <c r="E756" s="31"/>
      <c r="F756" s="34" t="s">
        <v>533</v>
      </c>
      <c r="G756" s="32"/>
    </row>
    <row r="757" ht="15.75" customHeight="1">
      <c r="A757" s="30">
        <v>43829.0</v>
      </c>
      <c r="B757" s="30">
        <v>43830.0</v>
      </c>
      <c r="C757" s="31" t="str">
        <f t="shared" si="16"/>
        <v>Monday</v>
      </c>
      <c r="D757" s="32">
        <f t="shared" si="17"/>
        <v>1</v>
      </c>
      <c r="E757" s="31"/>
      <c r="F757" s="34" t="s">
        <v>713</v>
      </c>
      <c r="G757" s="32"/>
    </row>
    <row r="758" ht="15.75" customHeight="1">
      <c r="A758" s="30">
        <v>43828.0</v>
      </c>
      <c r="B758" s="30">
        <v>43829.0</v>
      </c>
      <c r="C758" s="31" t="str">
        <f t="shared" si="16"/>
        <v>Sunday</v>
      </c>
      <c r="D758" s="32">
        <f t="shared" si="17"/>
        <v>1</v>
      </c>
      <c r="E758" s="31"/>
      <c r="F758" s="34" t="s">
        <v>714</v>
      </c>
      <c r="G758" s="32"/>
    </row>
    <row r="759" ht="15.75" customHeight="1">
      <c r="A759" s="30">
        <v>43827.0</v>
      </c>
      <c r="B759" s="30">
        <v>43828.0</v>
      </c>
      <c r="C759" s="31" t="str">
        <f t="shared" si="16"/>
        <v>Saturday</v>
      </c>
      <c r="D759" s="32">
        <f t="shared" si="17"/>
        <v>1</v>
      </c>
      <c r="E759" s="31"/>
      <c r="F759" s="34" t="s">
        <v>465</v>
      </c>
      <c r="G759" s="32"/>
    </row>
    <row r="760" ht="15.75" customHeight="1">
      <c r="A760" s="30">
        <v>43826.0</v>
      </c>
      <c r="B760" s="30">
        <v>43827.0</v>
      </c>
      <c r="C760" s="31" t="str">
        <f t="shared" si="16"/>
        <v>Friday</v>
      </c>
      <c r="D760" s="32">
        <f t="shared" si="17"/>
        <v>1</v>
      </c>
      <c r="E760" s="33" t="s">
        <v>9</v>
      </c>
      <c r="F760" s="34" t="s">
        <v>715</v>
      </c>
      <c r="G760" s="34"/>
    </row>
    <row r="761" ht="15.75" customHeight="1">
      <c r="A761" s="30">
        <v>43825.0</v>
      </c>
      <c r="B761" s="30">
        <v>43826.0</v>
      </c>
      <c r="C761" s="31" t="str">
        <f t="shared" si="16"/>
        <v>Thursday</v>
      </c>
      <c r="D761" s="32">
        <f t="shared" si="17"/>
        <v>1</v>
      </c>
      <c r="E761" s="31"/>
      <c r="F761" s="34" t="s">
        <v>716</v>
      </c>
      <c r="G761" s="32"/>
    </row>
    <row r="762" ht="15.75" customHeight="1">
      <c r="A762" s="30">
        <v>43824.0</v>
      </c>
      <c r="B762" s="30">
        <v>43825.0</v>
      </c>
      <c r="C762" s="31" t="str">
        <f t="shared" si="16"/>
        <v>Wednesday</v>
      </c>
      <c r="D762" s="32">
        <f t="shared" si="17"/>
        <v>1</v>
      </c>
      <c r="E762" s="31"/>
      <c r="F762" s="34" t="s">
        <v>717</v>
      </c>
      <c r="G762" s="32"/>
    </row>
    <row r="763" ht="15.75" customHeight="1">
      <c r="A763" s="30">
        <v>43823.0</v>
      </c>
      <c r="B763" s="30">
        <v>43824.0</v>
      </c>
      <c r="C763" s="31" t="str">
        <f t="shared" si="16"/>
        <v>Tuesday</v>
      </c>
      <c r="D763" s="32">
        <f t="shared" si="17"/>
        <v>1</v>
      </c>
      <c r="E763" s="33" t="s">
        <v>9</v>
      </c>
      <c r="F763" s="34" t="s">
        <v>718</v>
      </c>
      <c r="G763" s="32"/>
    </row>
    <row r="764" ht="15.75" customHeight="1">
      <c r="A764" s="30">
        <v>43822.0</v>
      </c>
      <c r="B764" s="30">
        <v>43823.0</v>
      </c>
      <c r="C764" s="31" t="str">
        <f t="shared" si="16"/>
        <v>Monday</v>
      </c>
      <c r="D764" s="32">
        <f t="shared" si="17"/>
        <v>1</v>
      </c>
      <c r="E764" s="31"/>
      <c r="F764" s="34" t="s">
        <v>719</v>
      </c>
      <c r="G764" s="32"/>
    </row>
    <row r="765" ht="15.75" customHeight="1">
      <c r="A765" s="30">
        <v>43821.0</v>
      </c>
      <c r="B765" s="30">
        <v>43822.0</v>
      </c>
      <c r="C765" s="31" t="str">
        <f t="shared" si="16"/>
        <v>Sunday</v>
      </c>
      <c r="D765" s="32">
        <f t="shared" si="17"/>
        <v>1</v>
      </c>
      <c r="E765" s="31"/>
      <c r="F765" s="34" t="s">
        <v>720</v>
      </c>
      <c r="G765" s="32"/>
    </row>
    <row r="766" ht="15.75" customHeight="1">
      <c r="A766" s="30">
        <v>43820.0</v>
      </c>
      <c r="B766" s="30">
        <v>43821.0</v>
      </c>
      <c r="C766" s="31" t="str">
        <f t="shared" si="16"/>
        <v>Saturday</v>
      </c>
      <c r="D766" s="32">
        <f t="shared" si="17"/>
        <v>1</v>
      </c>
      <c r="E766" s="31"/>
      <c r="F766" s="34" t="s">
        <v>721</v>
      </c>
      <c r="G766" s="32"/>
    </row>
    <row r="767" ht="15.75" customHeight="1">
      <c r="A767" s="30">
        <v>43819.0</v>
      </c>
      <c r="B767" s="30">
        <v>43820.0</v>
      </c>
      <c r="C767" s="31" t="str">
        <f t="shared" si="16"/>
        <v>Friday</v>
      </c>
      <c r="D767" s="32">
        <f t="shared" si="17"/>
        <v>1</v>
      </c>
      <c r="E767" s="31"/>
      <c r="F767" s="34" t="s">
        <v>722</v>
      </c>
      <c r="G767" s="32"/>
    </row>
    <row r="768" ht="15.75" customHeight="1">
      <c r="A768" s="30">
        <v>43818.0</v>
      </c>
      <c r="B768" s="30">
        <v>43819.0</v>
      </c>
      <c r="C768" s="31" t="str">
        <f t="shared" si="16"/>
        <v>Thursday</v>
      </c>
      <c r="D768" s="32">
        <f t="shared" si="17"/>
        <v>1</v>
      </c>
      <c r="E768" s="31"/>
      <c r="F768" s="34" t="s">
        <v>647</v>
      </c>
      <c r="G768" s="32"/>
    </row>
    <row r="769" ht="15.75" customHeight="1">
      <c r="A769" s="36">
        <v>43811.0</v>
      </c>
      <c r="B769" s="36">
        <v>43818.0</v>
      </c>
      <c r="C769" s="37" t="str">
        <f t="shared" si="16"/>
        <v>Thursday</v>
      </c>
      <c r="D769" s="7">
        <f t="shared" si="17"/>
        <v>7</v>
      </c>
      <c r="E769" s="8"/>
      <c r="F769" s="9" t="s">
        <v>565</v>
      </c>
      <c r="G769" s="7"/>
    </row>
    <row r="770" ht="15.75" customHeight="1">
      <c r="A770" s="36"/>
      <c r="B770" s="36"/>
      <c r="C770" s="37" t="str">
        <f t="shared" si="16"/>
        <v/>
      </c>
      <c r="D770" s="7" t="str">
        <f t="shared" si="17"/>
        <v/>
      </c>
      <c r="E770" s="8"/>
      <c r="F770" s="9" t="s">
        <v>723</v>
      </c>
      <c r="G770" s="7"/>
    </row>
    <row r="771" ht="15.75" customHeight="1">
      <c r="A771" s="36">
        <v>43804.0</v>
      </c>
      <c r="B771" s="36">
        <v>43811.0</v>
      </c>
      <c r="C771" s="37" t="str">
        <f t="shared" si="16"/>
        <v>Thursday</v>
      </c>
      <c r="D771" s="7">
        <f t="shared" si="17"/>
        <v>7</v>
      </c>
      <c r="E771" s="8"/>
      <c r="F771" s="9" t="s">
        <v>511</v>
      </c>
      <c r="G771" s="9"/>
    </row>
    <row r="772" ht="15.75" customHeight="1">
      <c r="A772" s="36">
        <v>43798.0</v>
      </c>
      <c r="B772" s="36">
        <v>43805.0</v>
      </c>
      <c r="C772" s="37" t="str">
        <f t="shared" si="16"/>
        <v>Friday</v>
      </c>
      <c r="D772" s="7">
        <f t="shared" si="17"/>
        <v>7</v>
      </c>
      <c r="E772" s="8"/>
      <c r="F772" s="9" t="s">
        <v>724</v>
      </c>
      <c r="G772" s="7"/>
    </row>
    <row r="773" ht="15.75" customHeight="1">
      <c r="A773" s="36">
        <v>43790.0</v>
      </c>
      <c r="B773" s="36">
        <v>43798.0</v>
      </c>
      <c r="C773" s="37" t="str">
        <f t="shared" si="16"/>
        <v>Thursday</v>
      </c>
      <c r="D773" s="7">
        <f t="shared" si="17"/>
        <v>8</v>
      </c>
      <c r="E773" s="8"/>
      <c r="F773" s="9" t="s">
        <v>725</v>
      </c>
      <c r="G773" s="7"/>
    </row>
    <row r="774" ht="15.75" customHeight="1">
      <c r="A774" s="36">
        <v>43783.0</v>
      </c>
      <c r="B774" s="36">
        <v>43790.0</v>
      </c>
      <c r="C774" s="37" t="str">
        <f t="shared" si="16"/>
        <v>Thursday</v>
      </c>
      <c r="D774" s="7">
        <f t="shared" si="17"/>
        <v>7</v>
      </c>
      <c r="E774" s="8"/>
      <c r="F774" s="9" t="s">
        <v>726</v>
      </c>
      <c r="G774" s="7"/>
    </row>
    <row r="775" ht="15.75" customHeight="1">
      <c r="A775" s="36">
        <v>43776.0</v>
      </c>
      <c r="B775" s="36">
        <v>43783.0</v>
      </c>
      <c r="C775" s="37" t="str">
        <f t="shared" si="16"/>
        <v>Thursday</v>
      </c>
      <c r="D775" s="7">
        <f t="shared" si="17"/>
        <v>7</v>
      </c>
      <c r="E775" s="8"/>
      <c r="F775" s="9" t="s">
        <v>727</v>
      </c>
      <c r="G775" s="7"/>
    </row>
    <row r="776" ht="15.75" customHeight="1">
      <c r="A776" s="67"/>
      <c r="B776" s="67"/>
      <c r="C776" s="37" t="str">
        <f t="shared" si="16"/>
        <v/>
      </c>
      <c r="D776" s="7" t="str">
        <f t="shared" si="17"/>
        <v/>
      </c>
      <c r="E776" s="8"/>
      <c r="F776" s="9" t="s">
        <v>728</v>
      </c>
      <c r="G776" s="7"/>
    </row>
    <row r="777" ht="15.75" customHeight="1">
      <c r="A777" s="36">
        <v>43769.0</v>
      </c>
      <c r="B777" s="36">
        <v>43776.0</v>
      </c>
      <c r="C777" s="37" t="str">
        <f t="shared" si="16"/>
        <v>Thursday</v>
      </c>
      <c r="D777" s="7">
        <f t="shared" si="17"/>
        <v>7</v>
      </c>
      <c r="E777" s="8"/>
      <c r="F777" s="9" t="s">
        <v>729</v>
      </c>
      <c r="G777" s="7"/>
    </row>
    <row r="778" ht="15.75" customHeight="1">
      <c r="A778" s="67"/>
      <c r="B778" s="67"/>
      <c r="C778" s="37" t="str">
        <f t="shared" si="16"/>
        <v/>
      </c>
      <c r="D778" s="7" t="str">
        <f t="shared" si="17"/>
        <v/>
      </c>
      <c r="E778" s="8"/>
      <c r="F778" s="9" t="s">
        <v>730</v>
      </c>
      <c r="G778" s="7"/>
    </row>
    <row r="779" ht="15.75" customHeight="1">
      <c r="A779" s="36">
        <v>43762.0</v>
      </c>
      <c r="B779" s="36">
        <v>43769.0</v>
      </c>
      <c r="C779" s="37" t="str">
        <f t="shared" si="16"/>
        <v>Thursday</v>
      </c>
      <c r="D779" s="7">
        <f t="shared" si="17"/>
        <v>7</v>
      </c>
      <c r="E779" s="8"/>
      <c r="F779" s="9" t="s">
        <v>731</v>
      </c>
      <c r="G779" s="7"/>
    </row>
    <row r="780" ht="15.75" customHeight="1">
      <c r="A780" s="67"/>
      <c r="B780" s="67"/>
      <c r="C780" s="37" t="str">
        <f t="shared" si="16"/>
        <v/>
      </c>
      <c r="D780" s="7" t="str">
        <f t="shared" si="17"/>
        <v/>
      </c>
      <c r="E780" s="8"/>
      <c r="F780" s="9" t="s">
        <v>732</v>
      </c>
      <c r="G780" s="7"/>
    </row>
    <row r="781" ht="15.75" customHeight="1">
      <c r="A781" s="36">
        <v>43755.0</v>
      </c>
      <c r="B781" s="36">
        <v>43762.0</v>
      </c>
      <c r="C781" s="37" t="str">
        <f t="shared" si="16"/>
        <v>Thursday</v>
      </c>
      <c r="D781" s="7">
        <f t="shared" si="17"/>
        <v>7</v>
      </c>
      <c r="E781" s="8"/>
      <c r="F781" s="9" t="s">
        <v>733</v>
      </c>
      <c r="G781" s="9"/>
    </row>
    <row r="782" ht="15.75" customHeight="1">
      <c r="A782" s="36"/>
      <c r="B782" s="36"/>
      <c r="C782" s="37" t="str">
        <f t="shared" si="16"/>
        <v/>
      </c>
      <c r="D782" s="7" t="str">
        <f t="shared" si="17"/>
        <v/>
      </c>
      <c r="E782" s="8"/>
      <c r="F782" s="9" t="s">
        <v>734</v>
      </c>
      <c r="G782" s="7"/>
    </row>
    <row r="783" ht="15.75" customHeight="1">
      <c r="A783" s="36">
        <v>43748.0</v>
      </c>
      <c r="B783" s="36">
        <v>43755.0</v>
      </c>
      <c r="C783" s="37" t="str">
        <f t="shared" si="16"/>
        <v>Thursday</v>
      </c>
      <c r="D783" s="7">
        <f t="shared" si="17"/>
        <v>7</v>
      </c>
      <c r="E783" s="8"/>
      <c r="F783" s="9" t="s">
        <v>605</v>
      </c>
      <c r="G783" s="7"/>
    </row>
    <row r="784" ht="15.75" customHeight="1">
      <c r="A784" s="36">
        <v>43741.0</v>
      </c>
      <c r="B784" s="36">
        <v>43748.0</v>
      </c>
      <c r="C784" s="37" t="str">
        <f t="shared" si="16"/>
        <v>Thursday</v>
      </c>
      <c r="D784" s="7">
        <f t="shared" si="17"/>
        <v>7</v>
      </c>
      <c r="E784" s="8"/>
      <c r="F784" s="70" t="s">
        <v>576</v>
      </c>
      <c r="G784" s="7"/>
    </row>
    <row r="785" ht="15.75" customHeight="1">
      <c r="A785" s="36">
        <v>43734.0</v>
      </c>
      <c r="B785" s="36">
        <v>43741.0</v>
      </c>
      <c r="C785" s="37" t="str">
        <f t="shared" si="16"/>
        <v>Thursday</v>
      </c>
      <c r="D785" s="7">
        <f t="shared" si="17"/>
        <v>7</v>
      </c>
      <c r="E785" s="8"/>
      <c r="F785" s="9" t="s">
        <v>735</v>
      </c>
      <c r="G785" s="7"/>
    </row>
    <row r="786" ht="15.75" customHeight="1">
      <c r="A786" s="36"/>
      <c r="B786" s="36"/>
      <c r="C786" s="37" t="str">
        <f t="shared" si="16"/>
        <v/>
      </c>
      <c r="D786" s="7" t="str">
        <f t="shared" si="17"/>
        <v/>
      </c>
      <c r="E786" s="8"/>
      <c r="F786" s="9" t="s">
        <v>624</v>
      </c>
      <c r="G786" s="7"/>
    </row>
    <row r="787" ht="15.75" customHeight="1">
      <c r="A787" s="36">
        <v>43727.0</v>
      </c>
      <c r="B787" s="36">
        <v>43734.0</v>
      </c>
      <c r="C787" s="37" t="str">
        <f t="shared" si="16"/>
        <v>Thursday</v>
      </c>
      <c r="D787" s="7">
        <f t="shared" si="17"/>
        <v>7</v>
      </c>
      <c r="E787" s="8"/>
      <c r="F787" s="9" t="s">
        <v>736</v>
      </c>
      <c r="G787" s="9" t="s">
        <v>737</v>
      </c>
    </row>
    <row r="788" ht="15.75" customHeight="1">
      <c r="A788" s="36"/>
      <c r="B788" s="36"/>
      <c r="C788" s="37" t="str">
        <f t="shared" si="16"/>
        <v/>
      </c>
      <c r="D788" s="7" t="str">
        <f t="shared" si="17"/>
        <v/>
      </c>
      <c r="E788" s="8"/>
      <c r="F788" s="9"/>
      <c r="G788" s="9" t="s">
        <v>738</v>
      </c>
    </row>
    <row r="789" ht="15.75" customHeight="1">
      <c r="A789" s="67"/>
      <c r="B789" s="67"/>
      <c r="C789" s="37" t="str">
        <f t="shared" si="16"/>
        <v/>
      </c>
      <c r="D789" s="7" t="str">
        <f t="shared" si="17"/>
        <v/>
      </c>
      <c r="E789" s="8"/>
      <c r="F789" s="9"/>
      <c r="G789" s="9" t="s">
        <v>739</v>
      </c>
    </row>
    <row r="790" ht="15.75" customHeight="1">
      <c r="A790" s="67"/>
      <c r="B790" s="67"/>
      <c r="C790" s="37" t="str">
        <f t="shared" si="16"/>
        <v/>
      </c>
      <c r="D790" s="7" t="str">
        <f t="shared" si="17"/>
        <v/>
      </c>
      <c r="E790" s="8"/>
      <c r="F790" s="9" t="s">
        <v>740</v>
      </c>
      <c r="G790" s="9" t="s">
        <v>741</v>
      </c>
    </row>
    <row r="791" ht="15.75" customHeight="1">
      <c r="A791" s="67"/>
      <c r="B791" s="67"/>
      <c r="C791" s="37" t="str">
        <f t="shared" si="16"/>
        <v/>
      </c>
      <c r="D791" s="7" t="str">
        <f t="shared" si="17"/>
        <v/>
      </c>
      <c r="E791" s="8"/>
      <c r="F791" s="9"/>
      <c r="G791" s="9" t="s">
        <v>742</v>
      </c>
    </row>
    <row r="792" ht="15.75" customHeight="1">
      <c r="A792" s="67"/>
      <c r="B792" s="67"/>
      <c r="C792" s="37" t="str">
        <f t="shared" si="16"/>
        <v/>
      </c>
      <c r="D792" s="7" t="str">
        <f t="shared" si="17"/>
        <v/>
      </c>
      <c r="E792" s="8"/>
      <c r="F792" s="9"/>
      <c r="G792" s="9" t="s">
        <v>743</v>
      </c>
    </row>
    <row r="793" ht="15.75" customHeight="1">
      <c r="A793" s="36">
        <v>43720.0</v>
      </c>
      <c r="B793" s="36">
        <v>43727.0</v>
      </c>
      <c r="C793" s="37" t="str">
        <f t="shared" si="16"/>
        <v>Thursday</v>
      </c>
      <c r="D793" s="7">
        <f t="shared" si="17"/>
        <v>7</v>
      </c>
      <c r="E793" s="8"/>
      <c r="F793" s="70" t="s">
        <v>744</v>
      </c>
      <c r="G793" s="9"/>
    </row>
    <row r="794" ht="15.75" customHeight="1">
      <c r="A794" s="36">
        <v>43713.0</v>
      </c>
      <c r="B794" s="36">
        <v>43720.0</v>
      </c>
      <c r="C794" s="37" t="str">
        <f t="shared" si="16"/>
        <v>Thursday</v>
      </c>
      <c r="D794" s="7">
        <f t="shared" si="17"/>
        <v>7</v>
      </c>
      <c r="E794" s="8"/>
      <c r="F794" s="9" t="s">
        <v>639</v>
      </c>
      <c r="G794" s="7"/>
    </row>
    <row r="795" ht="15.75" customHeight="1">
      <c r="A795" s="67"/>
      <c r="B795" s="67"/>
      <c r="C795" s="37" t="str">
        <f t="shared" si="16"/>
        <v/>
      </c>
      <c r="D795" s="7" t="str">
        <f t="shared" si="17"/>
        <v/>
      </c>
      <c r="E795" s="8"/>
      <c r="F795" s="9" t="s">
        <v>745</v>
      </c>
      <c r="G795" s="7"/>
    </row>
    <row r="796" ht="15.75" customHeight="1">
      <c r="A796" s="36">
        <v>43706.0</v>
      </c>
      <c r="B796" s="36">
        <v>43713.0</v>
      </c>
      <c r="C796" s="37" t="str">
        <f t="shared" si="16"/>
        <v>Thursday</v>
      </c>
      <c r="D796" s="7">
        <f t="shared" si="17"/>
        <v>7</v>
      </c>
      <c r="E796" s="8"/>
      <c r="F796" s="70" t="s">
        <v>718</v>
      </c>
      <c r="G796" s="7"/>
    </row>
    <row r="797" ht="15.75" customHeight="1">
      <c r="A797" s="36"/>
      <c r="B797" s="36"/>
      <c r="C797" s="37" t="str">
        <f t="shared" si="16"/>
        <v/>
      </c>
      <c r="D797" s="7" t="str">
        <f t="shared" si="17"/>
        <v/>
      </c>
      <c r="E797" s="8"/>
      <c r="F797" s="9" t="s">
        <v>622</v>
      </c>
      <c r="G797" s="7"/>
    </row>
    <row r="798" ht="15.75" customHeight="1">
      <c r="A798" s="36">
        <v>43699.0</v>
      </c>
      <c r="B798" s="36">
        <v>43706.0</v>
      </c>
      <c r="C798" s="37" t="str">
        <f t="shared" si="16"/>
        <v>Thursday</v>
      </c>
      <c r="D798" s="7">
        <f t="shared" si="17"/>
        <v>7</v>
      </c>
      <c r="E798" s="8"/>
      <c r="F798" s="9" t="s">
        <v>746</v>
      </c>
      <c r="G798" s="7"/>
    </row>
    <row r="799" ht="15.75" customHeight="1">
      <c r="A799" s="36">
        <v>43692.0</v>
      </c>
      <c r="B799" s="36">
        <v>43699.0</v>
      </c>
      <c r="C799" s="37" t="str">
        <f t="shared" si="16"/>
        <v>Thursday</v>
      </c>
      <c r="D799" s="7">
        <f t="shared" si="17"/>
        <v>7</v>
      </c>
      <c r="E799" s="8"/>
      <c r="F799" s="70" t="s">
        <v>715</v>
      </c>
      <c r="G799" s="7"/>
    </row>
    <row r="800" ht="15.75" customHeight="1">
      <c r="A800" s="36"/>
      <c r="B800" s="36"/>
      <c r="C800" s="37" t="str">
        <f t="shared" si="16"/>
        <v/>
      </c>
      <c r="D800" s="7" t="str">
        <f t="shared" si="17"/>
        <v/>
      </c>
      <c r="E800" s="8"/>
      <c r="F800" s="9" t="s">
        <v>544</v>
      </c>
      <c r="G800" s="7"/>
    </row>
    <row r="801" ht="15.75" customHeight="1">
      <c r="A801" s="36">
        <v>43685.0</v>
      </c>
      <c r="B801" s="36">
        <v>43692.0</v>
      </c>
      <c r="C801" s="37" t="str">
        <f t="shared" si="16"/>
        <v>Thursday</v>
      </c>
      <c r="D801" s="7">
        <f t="shared" si="17"/>
        <v>7</v>
      </c>
      <c r="E801" s="8"/>
      <c r="F801" s="9" t="s">
        <v>747</v>
      </c>
      <c r="G801" s="7"/>
    </row>
    <row r="802" ht="15.75" customHeight="1">
      <c r="A802" s="36">
        <v>43679.0</v>
      </c>
      <c r="B802" s="36">
        <v>43686.0</v>
      </c>
      <c r="C802" s="37" t="str">
        <f t="shared" si="16"/>
        <v>Friday</v>
      </c>
      <c r="D802" s="7">
        <f t="shared" si="17"/>
        <v>7</v>
      </c>
      <c r="E802" s="8"/>
      <c r="F802" s="70" t="s">
        <v>748</v>
      </c>
      <c r="G802" s="7"/>
    </row>
    <row r="803" ht="15.75" customHeight="1">
      <c r="A803" s="36"/>
      <c r="B803" s="36"/>
      <c r="C803" s="37" t="str">
        <f t="shared" si="16"/>
        <v/>
      </c>
      <c r="D803" s="7" t="str">
        <f t="shared" si="17"/>
        <v/>
      </c>
      <c r="E803" s="8"/>
      <c r="F803" s="9" t="s">
        <v>749</v>
      </c>
      <c r="G803" s="7"/>
    </row>
    <row r="804" ht="15.75" customHeight="1">
      <c r="A804" s="36">
        <v>43671.0</v>
      </c>
      <c r="B804" s="36">
        <v>43678.0</v>
      </c>
      <c r="C804" s="37" t="str">
        <f t="shared" si="16"/>
        <v>Thursday</v>
      </c>
      <c r="D804" s="7">
        <f t="shared" si="17"/>
        <v>7</v>
      </c>
      <c r="E804" s="8"/>
      <c r="F804" s="70" t="s">
        <v>750</v>
      </c>
      <c r="G804" s="7"/>
    </row>
    <row r="805" ht="15.75" customHeight="1">
      <c r="A805" s="8"/>
      <c r="B805" s="8"/>
      <c r="C805" s="37" t="str">
        <f t="shared" si="16"/>
        <v/>
      </c>
      <c r="D805" s="7" t="str">
        <f t="shared" si="17"/>
        <v/>
      </c>
      <c r="E805" s="8"/>
      <c r="F805" s="70" t="s">
        <v>751</v>
      </c>
      <c r="G805" s="7"/>
    </row>
    <row r="806" ht="15.75" customHeight="1">
      <c r="A806" s="36">
        <v>43664.0</v>
      </c>
      <c r="B806" s="36">
        <v>43671.0</v>
      </c>
      <c r="C806" s="37" t="str">
        <f t="shared" si="16"/>
        <v>Thursday</v>
      </c>
      <c r="D806" s="7">
        <f t="shared" si="17"/>
        <v>7</v>
      </c>
      <c r="E806" s="8"/>
      <c r="F806" s="9" t="s">
        <v>178</v>
      </c>
      <c r="G806" s="9"/>
    </row>
    <row r="807" ht="15.75" customHeight="1">
      <c r="A807" s="36">
        <v>43657.0</v>
      </c>
      <c r="B807" s="36">
        <v>43664.0</v>
      </c>
      <c r="C807" s="37" t="str">
        <f t="shared" si="16"/>
        <v>Thursday</v>
      </c>
      <c r="D807" s="7">
        <f t="shared" si="17"/>
        <v>7</v>
      </c>
      <c r="E807" s="8"/>
      <c r="F807" s="70" t="s">
        <v>752</v>
      </c>
      <c r="G807" s="7"/>
    </row>
    <row r="808" ht="15.75" customHeight="1">
      <c r="A808" s="36">
        <v>43650.0</v>
      </c>
      <c r="B808" s="36">
        <v>43657.0</v>
      </c>
      <c r="C808" s="37" t="str">
        <f t="shared" si="16"/>
        <v>Thursday</v>
      </c>
      <c r="D808" s="7">
        <f t="shared" si="17"/>
        <v>7</v>
      </c>
      <c r="E808" s="8"/>
      <c r="F808" s="70" t="s">
        <v>674</v>
      </c>
      <c r="G808" s="9"/>
    </row>
    <row r="809" ht="15.75" customHeight="1">
      <c r="A809" s="36">
        <v>43643.0</v>
      </c>
      <c r="B809" s="36">
        <v>43650.0</v>
      </c>
      <c r="C809" s="37" t="str">
        <f t="shared" si="16"/>
        <v>Thursday</v>
      </c>
      <c r="D809" s="7">
        <f t="shared" si="17"/>
        <v>7</v>
      </c>
      <c r="E809" s="8"/>
      <c r="F809" s="70" t="s">
        <v>753</v>
      </c>
      <c r="G809" s="7"/>
    </row>
    <row r="810" ht="15.75" customHeight="1">
      <c r="A810" s="36">
        <v>43636.0</v>
      </c>
      <c r="B810" s="36">
        <v>43643.0</v>
      </c>
      <c r="C810" s="37" t="str">
        <f t="shared" si="16"/>
        <v>Thursday</v>
      </c>
      <c r="D810" s="7">
        <f t="shared" si="17"/>
        <v>7</v>
      </c>
      <c r="E810" s="8"/>
      <c r="F810" s="70" t="s">
        <v>575</v>
      </c>
      <c r="G810" s="7"/>
    </row>
    <row r="811" ht="15.75" customHeight="1">
      <c r="A811" s="36">
        <v>43629.0</v>
      </c>
      <c r="B811" s="36">
        <v>43636.0</v>
      </c>
      <c r="C811" s="37" t="str">
        <f t="shared" si="16"/>
        <v>Thursday</v>
      </c>
      <c r="D811" s="7">
        <f t="shared" si="17"/>
        <v>7</v>
      </c>
      <c r="E811" s="8"/>
      <c r="F811" s="9" t="s">
        <v>655</v>
      </c>
      <c r="G811" s="7"/>
    </row>
    <row r="812" ht="15.75" customHeight="1">
      <c r="A812" s="36">
        <v>43622.0</v>
      </c>
      <c r="B812" s="36">
        <v>43629.0</v>
      </c>
      <c r="C812" s="37" t="str">
        <f t="shared" si="16"/>
        <v>Thursday</v>
      </c>
      <c r="D812" s="7">
        <f t="shared" si="17"/>
        <v>7</v>
      </c>
      <c r="E812" s="8"/>
      <c r="F812" s="9" t="s">
        <v>638</v>
      </c>
      <c r="G812" s="7"/>
    </row>
    <row r="813" ht="15.75" customHeight="1">
      <c r="A813" s="36">
        <v>43615.0</v>
      </c>
      <c r="B813" s="48">
        <v>43622.0</v>
      </c>
      <c r="C813" s="37" t="str">
        <f t="shared" si="16"/>
        <v>Thursday</v>
      </c>
      <c r="D813" s="7">
        <f t="shared" si="17"/>
        <v>7</v>
      </c>
      <c r="E813" s="8"/>
      <c r="F813" s="70" t="s">
        <v>522</v>
      </c>
      <c r="G813" s="7"/>
    </row>
    <row r="814" ht="15.75" customHeight="1">
      <c r="A814" s="36">
        <v>43608.0</v>
      </c>
      <c r="B814" s="36">
        <v>43615.0</v>
      </c>
      <c r="C814" s="37" t="str">
        <f t="shared" si="16"/>
        <v>Thursday</v>
      </c>
      <c r="D814" s="7">
        <f t="shared" si="17"/>
        <v>7</v>
      </c>
      <c r="E814" s="8"/>
      <c r="F814" s="70" t="s">
        <v>754</v>
      </c>
      <c r="G814" s="7"/>
    </row>
    <row r="815" ht="15.75" customHeight="1">
      <c r="A815" s="36">
        <v>43601.0</v>
      </c>
      <c r="B815" s="36">
        <v>43615.0</v>
      </c>
      <c r="C815" s="37" t="str">
        <f t="shared" si="16"/>
        <v>Thursday</v>
      </c>
      <c r="D815" s="7">
        <f t="shared" si="17"/>
        <v>14</v>
      </c>
      <c r="E815" s="8"/>
      <c r="F815" s="70" t="s">
        <v>755</v>
      </c>
      <c r="G815" s="9"/>
    </row>
    <row r="816" ht="15.75" customHeight="1">
      <c r="A816" s="36">
        <v>43587.0</v>
      </c>
      <c r="B816" s="36">
        <v>43601.0</v>
      </c>
      <c r="C816" s="8" t="str">
        <f t="shared" si="16"/>
        <v>Thursday</v>
      </c>
      <c r="D816" s="7">
        <f t="shared" si="17"/>
        <v>14</v>
      </c>
      <c r="E816" s="8"/>
      <c r="F816" s="70" t="s">
        <v>756</v>
      </c>
      <c r="G816" s="9"/>
    </row>
    <row r="817" ht="15.75" customHeight="1">
      <c r="A817" s="36">
        <v>43573.0</v>
      </c>
      <c r="B817" s="36">
        <v>43587.0</v>
      </c>
      <c r="C817" s="8" t="str">
        <f t="shared" si="16"/>
        <v>Thursday</v>
      </c>
      <c r="D817" s="7">
        <f t="shared" si="17"/>
        <v>14</v>
      </c>
      <c r="E817" s="8"/>
      <c r="F817" s="70" t="s">
        <v>757</v>
      </c>
      <c r="G817" s="7"/>
    </row>
    <row r="818" ht="15.75" customHeight="1">
      <c r="A818" s="36">
        <v>43559.0</v>
      </c>
      <c r="B818" s="36">
        <v>43573.0</v>
      </c>
      <c r="C818" s="8" t="str">
        <f t="shared" si="16"/>
        <v>Thursday</v>
      </c>
      <c r="D818" s="7">
        <f t="shared" si="17"/>
        <v>14</v>
      </c>
      <c r="E818" s="8"/>
      <c r="F818" s="70" t="s">
        <v>758</v>
      </c>
      <c r="G818" s="7"/>
    </row>
    <row r="819" ht="15.75" customHeight="1">
      <c r="A819" s="36">
        <v>43545.0</v>
      </c>
      <c r="B819" s="36">
        <v>43559.0</v>
      </c>
      <c r="C819" s="8" t="str">
        <f t="shared" si="16"/>
        <v>Thursday</v>
      </c>
      <c r="D819" s="7">
        <f t="shared" si="17"/>
        <v>14</v>
      </c>
      <c r="E819" s="8"/>
      <c r="F819" s="9" t="s">
        <v>759</v>
      </c>
      <c r="G819" s="7"/>
    </row>
    <row r="820" ht="15.75" customHeight="1">
      <c r="A820" s="36">
        <v>43531.0</v>
      </c>
      <c r="B820" s="36">
        <v>43545.0</v>
      </c>
      <c r="C820" s="8" t="str">
        <f t="shared" si="16"/>
        <v>Thursday</v>
      </c>
      <c r="D820" s="7">
        <f t="shared" si="17"/>
        <v>14</v>
      </c>
      <c r="E820" s="8"/>
      <c r="F820" s="70" t="s">
        <v>760</v>
      </c>
      <c r="G820" s="7"/>
    </row>
    <row r="821" ht="15.75" customHeight="1">
      <c r="A821" s="36">
        <v>43517.0</v>
      </c>
      <c r="B821" s="36">
        <v>43531.0</v>
      </c>
      <c r="C821" s="8" t="str">
        <f t="shared" si="16"/>
        <v>Thursday</v>
      </c>
      <c r="D821" s="7">
        <f t="shared" si="17"/>
        <v>14</v>
      </c>
      <c r="E821" s="8"/>
      <c r="F821" s="9" t="s">
        <v>761</v>
      </c>
      <c r="G821" s="9"/>
    </row>
    <row r="822" ht="15.75" customHeight="1">
      <c r="A822" s="36">
        <v>43503.0</v>
      </c>
      <c r="B822" s="36">
        <v>43518.0</v>
      </c>
      <c r="C822" s="8" t="str">
        <f t="shared" si="16"/>
        <v>Thursday</v>
      </c>
      <c r="D822" s="7">
        <f t="shared" si="17"/>
        <v>15</v>
      </c>
      <c r="E822" s="8"/>
      <c r="F822" s="70" t="s">
        <v>762</v>
      </c>
      <c r="G822" s="9"/>
    </row>
    <row r="823" ht="15.75" customHeight="1">
      <c r="A823" s="36">
        <v>43489.0</v>
      </c>
      <c r="B823" s="36">
        <v>43503.0</v>
      </c>
      <c r="C823" s="8" t="str">
        <f t="shared" si="16"/>
        <v>Thursday</v>
      </c>
      <c r="D823" s="7">
        <f t="shared" si="17"/>
        <v>14</v>
      </c>
      <c r="E823" s="8"/>
      <c r="F823" s="9" t="s">
        <v>763</v>
      </c>
      <c r="G823" s="7"/>
    </row>
    <row r="824" ht="15.75" customHeight="1">
      <c r="A824" s="36">
        <v>43475.0</v>
      </c>
      <c r="B824" s="36">
        <v>43489.0</v>
      </c>
      <c r="C824" s="8" t="str">
        <f t="shared" si="16"/>
        <v>Thursday</v>
      </c>
      <c r="D824" s="7">
        <f t="shared" si="17"/>
        <v>14</v>
      </c>
      <c r="E824" s="8"/>
      <c r="F824" s="70" t="s">
        <v>764</v>
      </c>
      <c r="G824" s="9"/>
    </row>
    <row r="825" ht="15.75" customHeight="1">
      <c r="A825" s="36">
        <v>43462.0</v>
      </c>
      <c r="B825" s="36">
        <v>43475.0</v>
      </c>
      <c r="C825" s="8" t="str">
        <f t="shared" si="16"/>
        <v>Friday</v>
      </c>
      <c r="D825" s="7">
        <f t="shared" si="17"/>
        <v>13</v>
      </c>
      <c r="E825" s="8"/>
      <c r="F825" s="70" t="s">
        <v>765</v>
      </c>
      <c r="G825" s="7"/>
    </row>
    <row r="826" ht="15.75" customHeight="1">
      <c r="A826" s="36">
        <v>43448.0</v>
      </c>
      <c r="B826" s="36">
        <v>43461.0</v>
      </c>
      <c r="C826" s="8" t="str">
        <f t="shared" si="16"/>
        <v>Friday</v>
      </c>
      <c r="D826" s="7">
        <f t="shared" si="17"/>
        <v>13</v>
      </c>
      <c r="E826" s="8"/>
      <c r="F826" s="9" t="s">
        <v>766</v>
      </c>
      <c r="G826" s="9"/>
    </row>
    <row r="827" ht="15.75" customHeight="1">
      <c r="A827" s="28" t="s">
        <v>41</v>
      </c>
      <c r="B827" s="28" t="s">
        <v>42</v>
      </c>
      <c r="C827" s="28" t="s">
        <v>43</v>
      </c>
      <c r="D827" s="28" t="s">
        <v>44</v>
      </c>
      <c r="E827" s="28" t="s">
        <v>45</v>
      </c>
      <c r="F827" s="29" t="s">
        <v>46</v>
      </c>
      <c r="G827" s="29" t="s">
        <v>47</v>
      </c>
    </row>
  </sheetData>
  <conditionalFormatting sqref="E1:G827">
    <cfRule type="expression" dxfId="0" priority="1">
      <formula>ISBLANK($E1)</formula>
    </cfRule>
  </conditionalFormatting>
  <conditionalFormatting sqref="E1:G827">
    <cfRule type="expression" dxfId="1" priority="2">
      <formula>OR($E1=$E$8,$E1=$E$12)</formula>
    </cfRule>
  </conditionalFormatting>
  <conditionalFormatting sqref="E1:G827">
    <cfRule type="expression" dxfId="2" priority="3">
      <formula>OR($E1=$E$3,$E1=$E$4,$E1=$E$9,$E1=$E$13)</formula>
    </cfRule>
  </conditionalFormatting>
  <conditionalFormatting sqref="E1:G827">
    <cfRule type="expression" dxfId="3" priority="4">
      <formula>$E1=$E$6</formula>
    </cfRule>
  </conditionalFormatting>
  <conditionalFormatting sqref="E1:G827">
    <cfRule type="expression" dxfId="4" priority="5">
      <formula>OR($E1=$E$5,$E1=$E$10,$E1=$E$14)</formula>
    </cfRule>
  </conditionalFormatting>
  <conditionalFormatting sqref="E1:G827">
    <cfRule type="expression" dxfId="5" priority="6">
      <formula>$E1=$E$15</formula>
    </cfRule>
  </conditionalFormatting>
  <drawing r:id="rId1"/>
</worksheet>
</file>